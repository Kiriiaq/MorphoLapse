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ce" sheetId="1" state="visible" r:id="rId1"/>
    <sheet xmlns:r="http://schemas.openxmlformats.org/officeDocument/2006/relationships" name="Synthè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b val="1"/>
      <color rgb="FFFFFFFF"/>
      <sz val="11"/>
    </font>
    <font>
      <b val="1"/>
      <sz val="14"/>
    </font>
    <font>
      <i val="1"/>
      <color rgb="FF666666"/>
    </font>
    <font>
      <b val="1"/>
    </font>
    <font>
      <b val="1"/>
      <sz val="12"/>
    </font>
  </fonts>
  <fills count="11">
    <fill>
      <patternFill/>
    </fill>
    <fill>
      <patternFill patternType="gray125"/>
    </fill>
    <fill>
      <patternFill patternType="solid">
        <fgColor rgb="FF2C3E50"/>
      </patternFill>
    </fill>
    <fill>
      <patternFill patternType="solid">
        <fgColor rgb="FFE5F0FB"/>
      </patternFill>
    </fill>
    <fill>
      <patternFill patternType="solid">
        <fgColor rgb="FFE7F6E5"/>
      </patternFill>
    </fill>
    <fill>
      <patternFill patternType="solid">
        <fgColor rgb="FFFFF4E0"/>
      </patternFill>
    </fill>
    <fill>
      <patternFill patternType="solid">
        <fgColor rgb="FFEFE5FA"/>
      </patternFill>
    </fill>
    <fill>
      <patternFill patternType="solid">
        <fgColor rgb="FFFFE0E0"/>
      </patternFill>
    </fill>
    <fill>
      <patternFill patternType="solid">
        <fgColor rgb="FFE0F2F4"/>
      </patternFill>
    </fill>
    <fill>
      <patternFill patternType="solid">
        <fgColor rgb="FFFFE0CC"/>
      </patternFill>
    </fill>
    <fill>
      <patternFill patternType="solid">
        <fgColor rgb="FFE5E5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center" vertical="center" wrapText="1"/>
    </xf>
    <xf numFmtId="0" fontId="0" fillId="1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6" customWidth="1" min="3" max="3"/>
    <col width="28" customWidth="1" min="4" max="4"/>
    <col width="56" customWidth="1" min="5" max="5"/>
    <col width="22" customWidth="1" min="6" max="6"/>
    <col width="22" customWidth="1" min="7" max="7"/>
    <col width="56" customWidth="1" min="8" max="8"/>
    <col width="20" customWidth="1" min="9" max="9"/>
    <col width="10" customWidth="1" min="10" max="10"/>
    <col width="11" customWidth="1" min="11" max="11"/>
    <col width="12" customWidth="1" min="12" max="12"/>
    <col width="12" customWidth="1" min="13" max="13"/>
    <col width="30" customWidth="1" min="14" max="14"/>
  </cols>
  <sheetData>
    <row r="1">
      <c r="A1" s="1" t="inlineStr">
        <is>
          <t>ID_Test</t>
        </is>
      </c>
      <c r="B1" s="1" t="inlineStr">
        <is>
          <t>Catégorie</t>
        </is>
      </c>
      <c r="C1" s="1" t="inlineStr">
        <is>
          <t>Exigence liée</t>
        </is>
      </c>
      <c r="D1" s="1" t="inlineStr">
        <is>
          <t>Fonctionnalité</t>
        </is>
      </c>
      <c r="E1" s="1" t="inlineStr">
        <is>
          <t>Description</t>
        </is>
      </c>
      <c r="F1" s="1" t="inlineStr">
        <is>
          <t>Pré-requis</t>
        </is>
      </c>
      <c r="G1" s="1" t="inlineStr">
        <is>
          <t>Données entrée</t>
        </is>
      </c>
      <c r="H1" s="1" t="inlineStr">
        <is>
          <t>Résultat attendu</t>
        </is>
      </c>
      <c r="I1" s="1" t="inlineStr">
        <is>
          <t>Résultat obtenu</t>
        </is>
      </c>
      <c r="J1" s="1" t="inlineStr">
        <is>
          <t>Statut</t>
        </is>
      </c>
      <c r="K1" s="1" t="inlineStr">
        <is>
          <t>Sévérité</t>
        </is>
      </c>
      <c r="L1" s="1" t="inlineStr">
        <is>
          <t>Testeur</t>
        </is>
      </c>
      <c r="M1" s="1" t="inlineStr">
        <is>
          <t>Date</t>
        </is>
      </c>
      <c r="N1" s="1" t="inlineStr">
        <is>
          <t>Commentaires</t>
        </is>
      </c>
    </row>
    <row r="2">
      <c r="A2" s="2" t="inlineStr">
        <is>
          <t>T-001</t>
        </is>
      </c>
      <c r="B2" s="3" t="inlineStr">
        <is>
          <t>IHM</t>
        </is>
      </c>
      <c r="C2" s="2" t="inlineStr">
        <is>
          <t>—</t>
        </is>
      </c>
      <c r="D2" s="4" t="inlineStr">
        <is>
          <t>Démarrage GUI</t>
        </is>
      </c>
      <c r="E2" s="4" t="inlineStr">
        <is>
          <t>Lancement python main.py : splash 5 étapes puis fenêtre principale visible (90% écran, centrée)</t>
        </is>
      </c>
      <c r="F2" s="4" t="inlineStr">
        <is>
          <t>—</t>
        </is>
      </c>
      <c r="G2" s="4" t="inlineStr">
        <is>
          <t>—</t>
        </is>
      </c>
      <c r="H2" s="4" t="inlineStr">
        <is>
          <t>Splash apparaît, fenêtre principale visible sans crash, stderr vide</t>
        </is>
      </c>
      <c r="K2" s="2" t="inlineStr">
        <is>
          <t>Bloquant</t>
        </is>
      </c>
    </row>
    <row r="3">
      <c r="A3" s="2" t="inlineStr">
        <is>
          <t>T-002</t>
        </is>
      </c>
      <c r="B3" s="3" t="inlineStr">
        <is>
          <t>IHM</t>
        </is>
      </c>
      <c r="C3" s="2" t="inlineStr">
        <is>
          <t>REQ-001 / REQ-013</t>
        </is>
      </c>
      <c r="D3" s="4" t="inlineStr">
        <is>
          <t>Sélecteur dossier source</t>
        </is>
      </c>
      <c r="E3" s="4" t="inlineStr">
        <is>
          <t>Cliquer '...' à droite de 'Dossier source' puis sélectionner un dossier valide</t>
        </is>
      </c>
      <c r="F3" s="4" t="inlineStr">
        <is>
          <t>App démarrée</t>
        </is>
      </c>
      <c r="G3" s="4" t="inlineStr">
        <is>
          <t>test/inputs/input_nominal</t>
        </is>
      </c>
      <c r="H3" s="4" t="inlineStr">
        <is>
          <t>Champ peuplé, previews Début/Fin affichées, stats '5 images | Réf: Auto | Sortie: -'</t>
        </is>
      </c>
      <c r="K3" s="2" t="inlineStr">
        <is>
          <t>Bloquant</t>
        </is>
      </c>
    </row>
    <row r="4">
      <c r="A4" s="2" t="inlineStr">
        <is>
          <t>T-003</t>
        </is>
      </c>
      <c r="B4" s="3" t="inlineStr">
        <is>
          <t>IHM</t>
        </is>
      </c>
      <c r="C4" s="2" t="inlineStr">
        <is>
          <t>REQ-002</t>
        </is>
      </c>
      <c r="D4" s="4" t="inlineStr">
        <is>
          <t>Sélecteur image référence</t>
        </is>
      </c>
      <c r="E4" s="4" t="inlineStr">
        <is>
          <t>Cliquer '...' à droite de 'Image de référence' et choisir un PNG</t>
        </is>
      </c>
      <c r="F4" s="4" t="inlineStr">
        <is>
          <t>App démarrée</t>
        </is>
      </c>
      <c r="G4" s="4" t="inlineStr">
        <is>
          <t>test/inputs/input_nominal/face_000.png</t>
        </is>
      </c>
      <c r="H4" s="4" t="inlineStr">
        <is>
          <t>Champ peuplé, stats reflète 'Réf: face_000.png'</t>
        </is>
      </c>
      <c r="K4" s="2" t="inlineStr">
        <is>
          <t>Majeur</t>
        </is>
      </c>
    </row>
    <row r="5">
      <c r="A5" s="2" t="inlineStr">
        <is>
          <t>T-004</t>
        </is>
      </c>
      <c r="B5" s="3" t="inlineStr">
        <is>
          <t>IHM</t>
        </is>
      </c>
      <c r="C5" s="2" t="inlineStr">
        <is>
          <t>REQ-002</t>
        </is>
      </c>
      <c r="D5" s="4" t="inlineStr">
        <is>
          <t>Sélecteur dossier sortie</t>
        </is>
      </c>
      <c r="E5" s="4" t="inlineStr">
        <is>
          <t>Cliquer '...' à droite de 'Dossier de sortie' et choisir un dossier</t>
        </is>
      </c>
      <c r="F5" s="4" t="inlineStr">
        <is>
          <t>App démarrée</t>
        </is>
      </c>
      <c r="G5" s="4" t="inlineStr">
        <is>
          <t>test/outputs_reels/manual_T004</t>
        </is>
      </c>
      <c r="H5" s="4" t="inlineStr">
        <is>
          <t>Champ peuplé, stats reflète 'Sortie: ✓'</t>
        </is>
      </c>
      <c r="K5" s="2" t="inlineStr">
        <is>
          <t>Majeur</t>
        </is>
      </c>
    </row>
    <row r="6">
      <c r="A6" s="2" t="inlineStr">
        <is>
          <t>T-005</t>
        </is>
      </c>
      <c r="B6" s="3" t="inlineStr">
        <is>
          <t>IHM</t>
        </is>
      </c>
      <c r="C6" s="2" t="inlineStr">
        <is>
          <t>REQ-008</t>
        </is>
      </c>
      <c r="D6" s="4" t="inlineStr">
        <is>
          <t>StepIndicator Import - toggle</t>
        </is>
      </c>
      <c r="E6" s="4" t="inlineStr">
        <is>
          <t>Décocher puis recocher la case de l'étape 'Import des images'</t>
        </is>
      </c>
      <c r="F6" s="4" t="inlineStr">
        <is>
          <t>App démarrée</t>
        </is>
      </c>
      <c r="G6" s="4" t="inlineStr">
        <is>
          <t>—</t>
        </is>
      </c>
      <c r="H6" s="4" t="inlineStr">
        <is>
          <t>Statut bascule pending↔disabled visuellement (icône + couleur)</t>
        </is>
      </c>
      <c r="K6" s="2" t="inlineStr">
        <is>
          <t>Majeur</t>
        </is>
      </c>
    </row>
    <row r="7">
      <c r="A7" s="2" t="inlineStr">
        <is>
          <t>T-006</t>
        </is>
      </c>
      <c r="B7" s="3" t="inlineStr">
        <is>
          <t>IHM</t>
        </is>
      </c>
      <c r="C7" s="2" t="inlineStr">
        <is>
          <t>REQ-008</t>
        </is>
      </c>
      <c r="D7" s="4" t="inlineStr">
        <is>
          <t>StepIndicator Import - statut running</t>
        </is>
      </c>
      <c r="E7" s="4" t="inlineStr">
        <is>
          <t>Lancer un workflow et observer l'indicateur Import pendant son exécution</t>
        </is>
      </c>
      <c r="F7" s="4" t="inlineStr">
        <is>
          <t>input_nominal sélectionné</t>
        </is>
      </c>
      <c r="G7" s="4" t="inlineStr">
        <is>
          <t>input_nominal</t>
        </is>
      </c>
      <c r="H7" s="4" t="inlineStr">
        <is>
          <t>Indicateur Import passe au statut 'running' (icône ◉, bordure bleue)</t>
        </is>
      </c>
      <c r="K7" s="2" t="inlineStr">
        <is>
          <t>Majeur</t>
        </is>
      </c>
    </row>
    <row r="8">
      <c r="A8" s="2" t="inlineStr">
        <is>
          <t>T-007</t>
        </is>
      </c>
      <c r="B8" s="3" t="inlineStr">
        <is>
          <t>IHM</t>
        </is>
      </c>
      <c r="C8" s="2" t="inlineStr">
        <is>
          <t>REQ-008</t>
        </is>
      </c>
      <c r="D8" s="4" t="inlineStr">
        <is>
          <t>StepIndicator Import - mini progress</t>
        </is>
      </c>
      <c r="E8" s="4" t="inlineStr">
        <is>
          <t>Pendant le run, observer la mini barre 60×6 à droite de chaque step</t>
        </is>
      </c>
      <c r="F8" s="4" t="inlineStr">
        <is>
          <t>Workflow lancé</t>
        </is>
      </c>
      <c r="G8" s="4" t="inlineStr">
        <is>
          <t>input_nominal</t>
        </is>
      </c>
      <c r="H8" s="4" t="inlineStr">
        <is>
          <t>Mini barre se remplit progressivement</t>
        </is>
      </c>
      <c r="K8" s="2" t="inlineStr">
        <is>
          <t>Mineur</t>
        </is>
      </c>
    </row>
    <row r="9">
      <c r="A9" s="2" t="inlineStr">
        <is>
          <t>T-008</t>
        </is>
      </c>
      <c r="B9" s="3" t="inlineStr">
        <is>
          <t>IHM</t>
        </is>
      </c>
      <c r="C9" s="2" t="inlineStr">
        <is>
          <t>REQ-008</t>
        </is>
      </c>
      <c r="D9" s="4" t="inlineStr">
        <is>
          <t>StepIndicator Align - toggle</t>
        </is>
      </c>
      <c r="E9" s="4" t="inlineStr">
        <is>
          <t>Idem T-005 sur 'Alignement des visages'</t>
        </is>
      </c>
      <c r="F9" s="4" t="inlineStr">
        <is>
          <t>App démarrée</t>
        </is>
      </c>
      <c r="G9" s="4" t="inlineStr">
        <is>
          <t>—</t>
        </is>
      </c>
      <c r="H9" s="4" t="inlineStr">
        <is>
          <t>Statut bascule correctement</t>
        </is>
      </c>
      <c r="K9" s="2" t="inlineStr">
        <is>
          <t>Majeur</t>
        </is>
      </c>
    </row>
    <row r="10">
      <c r="A10" s="2" t="inlineStr">
        <is>
          <t>T-009</t>
        </is>
      </c>
      <c r="B10" s="3" t="inlineStr">
        <is>
          <t>IHM</t>
        </is>
      </c>
      <c r="C10" s="2" t="inlineStr">
        <is>
          <t>REQ-008</t>
        </is>
      </c>
      <c r="D10" s="4" t="inlineStr">
        <is>
          <t>StepIndicator Align - statut completed</t>
        </is>
      </c>
      <c r="E10" s="4" t="inlineStr">
        <is>
          <t>Workflow nominal, observer fin étape align</t>
        </is>
      </c>
      <c r="F10" s="4" t="inlineStr">
        <is>
          <t>input_nominal</t>
        </is>
      </c>
      <c r="G10" s="4" t="inlineStr">
        <is>
          <t>input_nominal</t>
        </is>
      </c>
      <c r="H10" s="4" t="inlineStr">
        <is>
          <t>Indicateur passe à 'completed' (✓ vert, progress 100)</t>
        </is>
      </c>
      <c r="K10" s="2" t="inlineStr">
        <is>
          <t>Majeur</t>
        </is>
      </c>
    </row>
    <row r="11">
      <c r="A11" s="2" t="inlineStr">
        <is>
          <t>T-010</t>
        </is>
      </c>
      <c r="B11" s="3" t="inlineStr">
        <is>
          <t>IHM</t>
        </is>
      </c>
      <c r="C11" s="2" t="inlineStr">
        <is>
          <t>REQ-008</t>
        </is>
      </c>
      <c r="D11" s="4" t="inlineStr">
        <is>
          <t>StepIndicator Align - statut error</t>
        </is>
      </c>
      <c r="E11" s="4" t="inlineStr">
        <is>
          <t>Image sans visage à l'index 2, retry_detection=1, continue_on_error=False</t>
        </is>
      </c>
      <c r="F11" s="4" t="inlineStr">
        <is>
          <t>input_no_face</t>
        </is>
      </c>
      <c r="G11" s="4" t="inlineStr">
        <is>
          <t>input_no_face</t>
        </is>
      </c>
      <c r="H11" s="4" t="inlineStr">
        <is>
          <t>Indicateur passe à 'error' (✗ rouge)</t>
        </is>
      </c>
      <c r="K11" s="2" t="inlineStr">
        <is>
          <t>Majeur</t>
        </is>
      </c>
    </row>
    <row r="12">
      <c r="A12" s="2" t="inlineStr">
        <is>
          <t>T-011</t>
        </is>
      </c>
      <c r="B12" s="3" t="inlineStr">
        <is>
          <t>IHM</t>
        </is>
      </c>
      <c r="C12" s="2" t="inlineStr">
        <is>
          <t>REQ-008</t>
        </is>
      </c>
      <c r="D12" s="4" t="inlineStr">
        <is>
          <t>StepIndicator Morph - toggle</t>
        </is>
      </c>
      <c r="E12" s="4" t="inlineStr">
        <is>
          <t>Idem sur 'Morphing facial'</t>
        </is>
      </c>
      <c r="F12" s="4" t="inlineStr">
        <is>
          <t>—</t>
        </is>
      </c>
      <c r="G12" s="4" t="inlineStr">
        <is>
          <t>—</t>
        </is>
      </c>
      <c r="H12" s="4" t="inlineStr">
        <is>
          <t>OK</t>
        </is>
      </c>
      <c r="K12" s="2" t="inlineStr">
        <is>
          <t>Majeur</t>
        </is>
      </c>
    </row>
    <row r="13">
      <c r="A13" s="2" t="inlineStr">
        <is>
          <t>T-012</t>
        </is>
      </c>
      <c r="B13" s="3" t="inlineStr">
        <is>
          <t>IHM</t>
        </is>
      </c>
      <c r="C13" s="2" t="inlineStr">
        <is>
          <t>REQ-008</t>
        </is>
      </c>
      <c r="D13" s="4" t="inlineStr">
        <is>
          <t>StepIndicator Morph - running</t>
        </is>
      </c>
      <c r="E13" s="4" t="inlineStr">
        <is>
          <t>Idem T-006 sur Morph</t>
        </is>
      </c>
      <c r="F13" s="4" t="inlineStr">
        <is>
          <t>—</t>
        </is>
      </c>
      <c r="G13" s="4" t="inlineStr">
        <is>
          <t>input_nominal</t>
        </is>
      </c>
      <c r="H13" s="4" t="inlineStr">
        <is>
          <t>OK</t>
        </is>
      </c>
      <c r="K13" s="2" t="inlineStr">
        <is>
          <t>Majeur</t>
        </is>
      </c>
    </row>
    <row r="14">
      <c r="A14" s="2" t="inlineStr">
        <is>
          <t>T-013</t>
        </is>
      </c>
      <c r="B14" s="3" t="inlineStr">
        <is>
          <t>IHM</t>
        </is>
      </c>
      <c r="C14" s="2" t="inlineStr">
        <is>
          <t>REQ-005 / REQ-015</t>
        </is>
      </c>
      <c r="D14" s="4" t="inlineStr">
        <is>
          <t>StepIndicator Morph - statut cancelled</t>
        </is>
      </c>
      <c r="E14" s="4" t="inlineStr">
        <is>
          <t>Lancer workflow et annuler pendant Morph (Échap ou clic Annuler)</t>
        </is>
      </c>
      <c r="F14" s="4" t="inlineStr">
        <is>
          <t>input_nominal (≥5 img)</t>
        </is>
      </c>
      <c r="G14" s="4" t="inlineStr">
        <is>
          <t>input_nominal</t>
        </is>
      </c>
      <c r="H14" s="4" t="inlineStr">
        <is>
          <t>Indicateur Morph passe à 'cancelled' (⏹ ambre)</t>
        </is>
      </c>
      <c r="K14" s="2" t="inlineStr">
        <is>
          <t>Bloquant</t>
        </is>
      </c>
    </row>
    <row r="15">
      <c r="A15" s="2" t="inlineStr">
        <is>
          <t>T-014</t>
        </is>
      </c>
      <c r="B15" s="3" t="inlineStr">
        <is>
          <t>IHM</t>
        </is>
      </c>
      <c r="C15" s="2" t="inlineStr">
        <is>
          <t>REQ-008</t>
        </is>
      </c>
      <c r="D15" s="4" t="inlineStr">
        <is>
          <t>StepIndicator Export - toggle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inlineStr">
        <is>
          <t>OK</t>
        </is>
      </c>
      <c r="K15" s="2" t="inlineStr">
        <is>
          <t>Mineur</t>
        </is>
      </c>
    </row>
    <row r="16">
      <c r="A16" s="2" t="inlineStr">
        <is>
          <t>T-015</t>
        </is>
      </c>
      <c r="B16" s="3" t="inlineStr">
        <is>
          <t>IHM</t>
        </is>
      </c>
      <c r="C16" s="2" t="inlineStr">
        <is>
          <t>REQ-008</t>
        </is>
      </c>
      <c r="D16" s="4" t="inlineStr">
        <is>
          <t>StepIndicator Export - completed</t>
        </is>
      </c>
      <c r="E16" s="4" t="inlineStr">
        <is>
          <t>Workflow complet jusqu'à export</t>
        </is>
      </c>
      <c r="F16" s="4" t="inlineStr">
        <is>
          <t>input_nominal</t>
        </is>
      </c>
      <c r="G16" s="4" t="inlineStr">
        <is>
          <t>input_nominal</t>
        </is>
      </c>
      <c r="H16" s="4" t="inlineStr">
        <is>
          <t>OK</t>
        </is>
      </c>
      <c r="K16" s="2" t="inlineStr">
        <is>
          <t>Majeur</t>
        </is>
      </c>
    </row>
    <row r="17">
      <c r="A17" s="2" t="inlineStr">
        <is>
          <t>T-016</t>
        </is>
      </c>
      <c r="B17" s="3" t="inlineStr">
        <is>
          <t>IHM</t>
        </is>
      </c>
      <c r="C17" s="2" t="inlineStr">
        <is>
          <t>REQ-008</t>
        </is>
      </c>
      <c r="D17" s="4" t="inlineStr">
        <is>
          <t>StepIndicator Export - skipped</t>
        </is>
      </c>
      <c r="E17" s="4" t="inlineStr">
        <is>
          <t>Décocher Export puis lancer</t>
        </is>
      </c>
      <c r="F17" s="4" t="inlineStr">
        <is>
          <t>input_nominal</t>
        </is>
      </c>
      <c r="G17" s="4" t="inlineStr">
        <is>
          <t>input_nominal</t>
        </is>
      </c>
      <c r="H17" s="4" t="inlineStr">
        <is>
          <t>Indicateur passe à 'skipped' (⊘ gris)</t>
        </is>
      </c>
      <c r="K17" s="2" t="inlineStr">
        <is>
          <t>Mineur</t>
        </is>
      </c>
    </row>
    <row r="18">
      <c r="A18" s="2" t="inlineStr">
        <is>
          <t>T-017</t>
        </is>
      </c>
      <c r="B18" s="3" t="inlineStr">
        <is>
          <t>IHM</t>
        </is>
      </c>
      <c r="C18" s="2" t="inlineStr">
        <is>
          <t>REQ-003</t>
        </is>
      </c>
      <c r="D18" s="4" t="inlineStr">
        <is>
          <t>Bouton Lancer disabled à vide</t>
        </is>
      </c>
      <c r="E18" s="4" t="inlineStr">
        <is>
          <t>Vider config.json puis démarrer l'app sans sélection</t>
        </is>
      </c>
      <c r="F18" s="4" t="inlineStr">
        <is>
          <t>Config réinitialisée</t>
        </is>
      </c>
      <c r="G18" s="4" t="inlineStr">
        <is>
          <t>—</t>
        </is>
      </c>
      <c r="H18" s="4" t="inlineStr">
        <is>
          <t>Bouton Lancer grisé/disabled</t>
        </is>
      </c>
      <c r="K18" s="2" t="inlineStr">
        <is>
          <t>Bloquant</t>
        </is>
      </c>
    </row>
    <row r="19">
      <c r="A19" s="2" t="inlineStr">
        <is>
          <t>T-018</t>
        </is>
      </c>
      <c r="B19" s="3" t="inlineStr">
        <is>
          <t>IHM</t>
        </is>
      </c>
      <c r="C19" s="2" t="inlineStr">
        <is>
          <t>REQ-003</t>
        </is>
      </c>
      <c r="D19" s="4" t="inlineStr">
        <is>
          <t>Bouton Lancer s'active à sélection</t>
        </is>
      </c>
      <c r="E19" s="4" t="inlineStr">
        <is>
          <t>Avec champ vide, sélectionner un dossier source</t>
        </is>
      </c>
      <c r="F19" s="4" t="inlineStr">
        <is>
          <t>—</t>
        </is>
      </c>
      <c r="G19" s="4" t="inlineStr">
        <is>
          <t>test/inputs/input_nominal</t>
        </is>
      </c>
      <c r="H19" s="4" t="inlineStr">
        <is>
          <t>Lancer passe à enabled instantanément (trace)</t>
        </is>
      </c>
      <c r="K19" s="2" t="inlineStr">
        <is>
          <t>Bloquant</t>
        </is>
      </c>
    </row>
    <row r="20">
      <c r="A20" s="2" t="inlineStr">
        <is>
          <t>T-019</t>
        </is>
      </c>
      <c r="B20" s="3" t="inlineStr">
        <is>
          <t>IHM</t>
        </is>
      </c>
      <c r="C20" s="2" t="inlineStr">
        <is>
          <t>REQ-003</t>
        </is>
      </c>
      <c r="D20" s="4" t="inlineStr">
        <is>
          <t>Bouton Lancer se redésactive</t>
        </is>
      </c>
      <c r="E20" s="4" t="inlineStr">
        <is>
          <t>Avec dossier sélectionné, vider manuellement le champ Entry</t>
        </is>
      </c>
      <c r="F20" s="4" t="inlineStr">
        <is>
          <t>Dossier source sélectionné</t>
        </is>
      </c>
      <c r="G20" s="4" t="inlineStr">
        <is>
          <t>—</t>
        </is>
      </c>
      <c r="H20" s="4" t="inlineStr">
        <is>
          <t>Lancer redevient disabled</t>
        </is>
      </c>
      <c r="K20" s="2" t="inlineStr">
        <is>
          <t>Mineur</t>
        </is>
      </c>
    </row>
    <row r="21">
      <c r="A21" s="2" t="inlineStr">
        <is>
          <t>T-020</t>
        </is>
      </c>
      <c r="B21" s="3" t="inlineStr">
        <is>
          <t>IHM</t>
        </is>
      </c>
      <c r="C21" s="2" t="inlineStr">
        <is>
          <t>REQ-003 / REQ-016</t>
        </is>
      </c>
      <c r="D21" s="4" t="inlineStr">
        <is>
          <t>Bouton Lancer disabled pendant run</t>
        </is>
      </c>
      <c r="E21" s="4" t="inlineStr">
        <is>
          <t>Démarrer un workflow</t>
        </is>
      </c>
      <c r="F21" s="4" t="inlineStr">
        <is>
          <t>input_nominal sélectionné</t>
        </is>
      </c>
      <c r="G21" s="4" t="inlineStr">
        <is>
          <t>input_nominal</t>
        </is>
      </c>
      <c r="H21" s="4" t="inlineStr">
        <is>
          <t>Lancer disabled pendant tout le run</t>
        </is>
      </c>
      <c r="K21" s="2" t="inlineStr">
        <is>
          <t>Majeur</t>
        </is>
      </c>
    </row>
    <row r="22">
      <c r="A22" s="2" t="inlineStr">
        <is>
          <t>T-021</t>
        </is>
      </c>
      <c r="B22" s="3" t="inlineStr">
        <is>
          <t>IHM</t>
        </is>
      </c>
      <c r="C22" s="2" t="inlineStr">
        <is>
          <t>REQ-004</t>
        </is>
      </c>
      <c r="D22" s="4" t="inlineStr">
        <is>
          <t>Bouton Annuler disabled au démarrage</t>
        </is>
      </c>
      <c r="E22" s="4" t="inlineStr">
        <is>
          <t>Au lancement de l'app</t>
        </is>
      </c>
      <c r="F22" s="4" t="inlineStr">
        <is>
          <t>—</t>
        </is>
      </c>
      <c r="G22" s="4" t="inlineStr">
        <is>
          <t>—</t>
        </is>
      </c>
      <c r="H22" s="4" t="inlineStr">
        <is>
          <t>Annuler affiché en rouge mais disabled</t>
        </is>
      </c>
      <c r="K22" s="2" t="inlineStr">
        <is>
          <t>Majeur</t>
        </is>
      </c>
    </row>
    <row r="23">
      <c r="A23" s="2" t="inlineStr">
        <is>
          <t>T-022</t>
        </is>
      </c>
      <c r="B23" s="3" t="inlineStr">
        <is>
          <t>IHM</t>
        </is>
      </c>
      <c r="C23" s="2" t="inlineStr">
        <is>
          <t>REQ-004</t>
        </is>
      </c>
      <c r="D23" s="4" t="inlineStr">
        <is>
          <t>Bouton Annuler enabled pendant run</t>
        </is>
      </c>
      <c r="E23" s="4" t="inlineStr">
        <is>
          <t>Démarrer un workflow</t>
        </is>
      </c>
      <c r="F23" s="4" t="inlineStr">
        <is>
          <t>input_nominal</t>
        </is>
      </c>
      <c r="G23" s="4" t="inlineStr">
        <is>
          <t>input_nominal</t>
        </is>
      </c>
      <c r="H23" s="4" t="inlineStr">
        <is>
          <t>Annuler enabled pendant le run</t>
        </is>
      </c>
      <c r="K23" s="2" t="inlineStr">
        <is>
          <t>Majeur</t>
        </is>
      </c>
    </row>
    <row r="24">
      <c r="A24" s="2" t="inlineStr">
        <is>
          <t>T-023</t>
        </is>
      </c>
      <c r="B24" s="3" t="inlineStr">
        <is>
          <t>IHM</t>
        </is>
      </c>
      <c r="C24" s="2" t="inlineStr">
        <is>
          <t>REQ-004</t>
        </is>
      </c>
      <c r="D24" s="4" t="inlineStr">
        <is>
          <t>Bouton Annuler redisabled après run</t>
        </is>
      </c>
      <c r="E24" s="4" t="inlineStr">
        <is>
          <t>Attendre la fin du workflow</t>
        </is>
      </c>
      <c r="F24" s="4" t="inlineStr">
        <is>
          <t>input_nominal</t>
        </is>
      </c>
      <c r="G24" s="4" t="inlineStr">
        <is>
          <t>input_nominal</t>
        </is>
      </c>
      <c r="H24" s="4" t="inlineStr">
        <is>
          <t>Annuler redevient disabled</t>
        </is>
      </c>
      <c r="K24" s="2" t="inlineStr">
        <is>
          <t>Mineur</t>
        </is>
      </c>
    </row>
    <row r="25">
      <c r="A25" s="2" t="inlineStr">
        <is>
          <t>T-024</t>
        </is>
      </c>
      <c r="B25" s="3" t="inlineStr">
        <is>
          <t>IHM</t>
        </is>
      </c>
      <c r="C25" s="2" t="inlineStr">
        <is>
          <t>REQ-006</t>
        </is>
      </c>
      <c r="D25" s="4" t="inlineStr">
        <is>
          <t>Tooltip Annuler mentionne Échap</t>
        </is>
      </c>
      <c r="E25" s="4" t="inlineStr">
        <is>
          <t>Hover ≥ 400 ms sur le bouton Annuler</t>
        </is>
      </c>
      <c r="F25" s="4" t="inlineStr">
        <is>
          <t>—</t>
        </is>
      </c>
      <c r="G25" s="4" t="inlineStr">
        <is>
          <t>—</t>
        </is>
      </c>
      <c r="H25" s="4" t="inlineStr">
        <is>
          <t>Tooltip affiche 'Annule le traitement en cours (Échap)'</t>
        </is>
      </c>
      <c r="K25" s="2" t="inlineStr">
        <is>
          <t>Mineur</t>
        </is>
      </c>
    </row>
    <row r="26">
      <c r="A26" s="2" t="inlineStr">
        <is>
          <t>T-025</t>
        </is>
      </c>
      <c r="B26" s="3" t="inlineStr">
        <is>
          <t>IHM</t>
        </is>
      </c>
      <c r="C26" s="2" t="inlineStr">
        <is>
          <t>—</t>
        </is>
      </c>
      <c r="D26" s="4" t="inlineStr">
        <is>
          <t>QuickAction Ouvrir 📂</t>
        </is>
      </c>
      <c r="E26" s="4" t="inlineStr">
        <is>
          <t>Cliquer l'icône 📂 dans la toolbar centrale</t>
        </is>
      </c>
      <c r="F26" s="4" t="inlineStr">
        <is>
          <t>App démarrée</t>
        </is>
      </c>
      <c r="G26" s="4" t="inlineStr">
        <is>
          <t>—</t>
        </is>
      </c>
      <c r="H26" s="4" t="inlineStr">
        <is>
          <t>Ouvre filedialog de sélection dossier source</t>
        </is>
      </c>
      <c r="K26" s="2" t="inlineStr">
        <is>
          <t>Mineur</t>
        </is>
      </c>
    </row>
    <row r="27">
      <c r="A27" s="2" t="inlineStr">
        <is>
          <t>T-026</t>
        </is>
      </c>
      <c r="B27" s="3" t="inlineStr">
        <is>
          <t>IHM</t>
        </is>
      </c>
      <c r="C27" s="2" t="inlineStr">
        <is>
          <t>REQ-011</t>
        </is>
      </c>
      <c r="D27" s="4" t="inlineStr">
        <is>
          <t>QuickAction Sauvegarder 💾</t>
        </is>
      </c>
      <c r="E27" s="4" t="inlineStr">
        <is>
          <t>Cliquer l'icône 💾 dans la toolbar centrale</t>
        </is>
      </c>
      <c r="F27" s="4" t="inlineStr">
        <is>
          <t>App démarrée</t>
        </is>
      </c>
      <c r="G27" s="4" t="inlineStr">
        <is>
          <t>—</t>
        </is>
      </c>
      <c r="H27" s="4" t="inlineStr">
        <is>
          <t>Sauvegarde immédiate (log 'Paramètres sauvegardés')</t>
        </is>
      </c>
      <c r="K27" s="2" t="inlineStr">
        <is>
          <t>Mineur</t>
        </is>
      </c>
    </row>
    <row r="28">
      <c r="A28" s="2" t="inlineStr">
        <is>
          <t>T-027</t>
        </is>
      </c>
      <c r="B28" s="3" t="inlineStr">
        <is>
          <t>IHM</t>
        </is>
      </c>
      <c r="C28" s="2" t="inlineStr">
        <is>
          <t>REQ-002</t>
        </is>
      </c>
      <c r="D28" s="4" t="inlineStr">
        <is>
          <t>stats_label après sélection input</t>
        </is>
      </c>
      <c r="E28" s="4" t="inlineStr">
        <is>
          <t>Sélectionner input_nominal</t>
        </is>
      </c>
      <c r="F28" s="4" t="inlineStr">
        <is>
          <t>App démarrée</t>
        </is>
      </c>
      <c r="G28" s="4" t="inlineStr">
        <is>
          <t>input_nominal (5 img)</t>
        </is>
      </c>
      <c r="H28" s="4" t="inlineStr">
        <is>
          <t>Label '5 images | Réf: Auto | Sortie: -'</t>
        </is>
      </c>
      <c r="K28" s="2" t="inlineStr">
        <is>
          <t>Bloquant</t>
        </is>
      </c>
    </row>
    <row r="29">
      <c r="A29" s="2" t="inlineStr">
        <is>
          <t>T-028</t>
        </is>
      </c>
      <c r="B29" s="3" t="inlineStr">
        <is>
          <t>IHM</t>
        </is>
      </c>
      <c r="C29" s="2" t="inlineStr">
        <is>
          <t>REQ-002</t>
        </is>
      </c>
      <c r="D29" s="4" t="inlineStr">
        <is>
          <t>stats_label après sélection référence</t>
        </is>
      </c>
      <c r="E29" s="4" t="inlineStr">
        <is>
          <t>Avec input_nominal sélectionné, choisir une référence</t>
        </is>
      </c>
      <c r="F29" s="4" t="inlineStr">
        <is>
          <t>input_nominal sélectionné</t>
        </is>
      </c>
      <c r="G29" s="4" t="inlineStr">
        <is>
          <t>face_000.png</t>
        </is>
      </c>
      <c r="H29" s="4" t="inlineStr">
        <is>
          <t>Label '5 images | Réf: face_000.png | Sortie: -'</t>
        </is>
      </c>
      <c r="K29" s="2" t="inlineStr">
        <is>
          <t>Bloquant</t>
        </is>
      </c>
    </row>
    <row r="30">
      <c r="A30" s="2" t="inlineStr">
        <is>
          <t>T-029</t>
        </is>
      </c>
      <c r="B30" s="3" t="inlineStr">
        <is>
          <t>IHM</t>
        </is>
      </c>
      <c r="C30" s="2" t="inlineStr">
        <is>
          <t>REQ-002</t>
        </is>
      </c>
      <c r="D30" s="4" t="inlineStr">
        <is>
          <t>stats_label après sélection sortie</t>
        </is>
      </c>
      <c r="E30" s="4" t="inlineStr">
        <is>
          <t>Sélectionner un dossier de sortie quelconque</t>
        </is>
      </c>
      <c r="F30" s="4" t="inlineStr">
        <is>
          <t>input_nominal sélectionné</t>
        </is>
      </c>
      <c r="G30" s="4" t="inlineStr">
        <is>
          <t>manual_T029/</t>
        </is>
      </c>
      <c r="H30" s="4" t="inlineStr">
        <is>
          <t>Label '5 images | Réf: ... | Sortie: ✓'</t>
        </is>
      </c>
      <c r="K30" s="2" t="inlineStr">
        <is>
          <t>Majeur</t>
        </is>
      </c>
    </row>
    <row r="31">
      <c r="A31" s="2" t="inlineStr">
        <is>
          <t>T-030</t>
        </is>
      </c>
      <c r="B31" s="3" t="inlineStr">
        <is>
          <t>IHM</t>
        </is>
      </c>
      <c r="C31" s="2" t="inlineStr">
        <is>
          <t>REQ-013</t>
        </is>
      </c>
      <c r="D31" s="4" t="inlineStr">
        <is>
          <t>Preview Début après sélection</t>
        </is>
      </c>
      <c r="E31" s="4" t="inlineStr">
        <is>
          <t>Sélectionner input_nominal</t>
        </is>
      </c>
      <c r="F31" s="4" t="inlineStr">
        <is>
          <t>App démarrée</t>
        </is>
      </c>
      <c r="G31" s="4" t="inlineStr">
        <is>
          <t>input_nominal</t>
        </is>
      </c>
      <c r="H31" s="4" t="inlineStr">
        <is>
          <t>Vignette 100×100 'face_000.png' visible sous 'Début'</t>
        </is>
      </c>
      <c r="K31" s="2" t="inlineStr">
        <is>
          <t>Majeur</t>
        </is>
      </c>
    </row>
    <row r="32">
      <c r="A32" s="2" t="inlineStr">
        <is>
          <t>T-031</t>
        </is>
      </c>
      <c r="B32" s="3" t="inlineStr">
        <is>
          <t>IHM</t>
        </is>
      </c>
      <c r="C32" s="2" t="inlineStr">
        <is>
          <t>REQ-013</t>
        </is>
      </c>
      <c r="D32" s="4" t="inlineStr">
        <is>
          <t>Preview Fin après sélection</t>
        </is>
      </c>
      <c r="E32" s="4" t="inlineStr">
        <is>
          <t>Idem T-030</t>
        </is>
      </c>
      <c r="F32" s="4" t="inlineStr">
        <is>
          <t>App démarrée</t>
        </is>
      </c>
      <c r="G32" s="4" t="inlineStr">
        <is>
          <t>input_nominal</t>
        </is>
      </c>
      <c r="H32" s="4" t="inlineStr">
        <is>
          <t>Vignette 100×100 'face_004.png' visible sous 'Fin'</t>
        </is>
      </c>
      <c r="K32" s="2" t="inlineStr">
        <is>
          <t>Majeur</t>
        </is>
      </c>
    </row>
    <row r="33">
      <c r="A33" s="2" t="inlineStr">
        <is>
          <t>T-032</t>
        </is>
      </c>
      <c r="B33" s="3" t="inlineStr">
        <is>
          <t>IHM</t>
        </is>
      </c>
      <c r="C33" s="2" t="inlineStr">
        <is>
          <t>REQ-012</t>
        </is>
      </c>
      <c r="D33" s="4" t="inlineStr">
        <is>
          <t>LogViewer Effacer</t>
        </is>
      </c>
      <c r="E33" s="4" t="inlineStr">
        <is>
          <t>Bouton 'Effacer' du LogViewer après plusieurs logs</t>
        </is>
      </c>
      <c r="F33" s="4" t="inlineStr">
        <is>
          <t>App démarrée + logs</t>
        </is>
      </c>
      <c r="G33" s="4" t="inlineStr">
        <is>
          <t>—</t>
        </is>
      </c>
      <c r="H33" s="4" t="inlineStr">
        <is>
          <t>Textbox vidée immédiatement, line_count remis à 0</t>
        </is>
      </c>
      <c r="K33" s="2" t="inlineStr">
        <is>
          <t>Mineur</t>
        </is>
      </c>
    </row>
    <row r="34">
      <c r="A34" s="2" t="inlineStr">
        <is>
          <t>T-033</t>
        </is>
      </c>
      <c r="B34" s="3" t="inlineStr">
        <is>
          <t>IHM</t>
        </is>
      </c>
      <c r="C34" s="2" t="inlineStr">
        <is>
          <t>REQ-012</t>
        </is>
      </c>
      <c r="D34" s="4" t="inlineStr">
        <is>
          <t>LogViewer Export</t>
        </is>
      </c>
      <c r="E34" s="4" t="inlineStr">
        <is>
          <t>Bouton 'Export', choisir un .txt</t>
        </is>
      </c>
      <c r="F34" s="4" t="inlineStr">
        <is>
          <t>App démarrée + logs</t>
        </is>
      </c>
      <c r="G34" s="4" t="inlineStr">
        <is>
          <t>—</t>
        </is>
      </c>
      <c r="H34" s="4" t="inlineStr">
        <is>
          <t>Fichier .txt contenant les logs affichés</t>
        </is>
      </c>
      <c r="K34" s="2" t="inlineStr">
        <is>
          <t>Mineur</t>
        </is>
      </c>
    </row>
    <row r="35">
      <c r="A35" s="2" t="inlineStr">
        <is>
          <t>T-034</t>
        </is>
      </c>
      <c r="B35" s="3" t="inlineStr">
        <is>
          <t>IHM</t>
        </is>
      </c>
      <c r="C35" s="2" t="inlineStr">
        <is>
          <t>REQ-012</t>
        </is>
      </c>
      <c r="D35" s="4" t="inlineStr">
        <is>
          <t>LogViewer filtre niveau</t>
        </is>
      </c>
      <c r="E35" s="4" t="inlineStr">
        <is>
          <t>Sélectionner 'WARNING' dans le dropdown niveau</t>
        </is>
      </c>
      <c r="F35" s="4" t="inlineStr">
        <is>
          <t>Logs DEBUG+INFO+WARN+ERROR présents</t>
        </is>
      </c>
      <c r="G35" s="4" t="inlineStr">
        <is>
          <t>—</t>
        </is>
      </c>
      <c r="H35" s="4" t="inlineStr">
        <is>
          <t>Seuls les WARNING et ERROR restent visibles</t>
        </is>
      </c>
      <c r="K35" s="2" t="inlineStr">
        <is>
          <t>Majeur</t>
        </is>
      </c>
    </row>
    <row r="36">
      <c r="A36" s="2" t="inlineStr">
        <is>
          <t>T-035</t>
        </is>
      </c>
      <c r="B36" s="3" t="inlineStr">
        <is>
          <t>IHM</t>
        </is>
      </c>
      <c r="C36" s="2" t="inlineStr">
        <is>
          <t>REQ-012</t>
        </is>
      </c>
      <c r="D36" s="4" t="inlineStr">
        <is>
          <t>LogViewer couleurs</t>
        </is>
      </c>
      <c r="E36" s="4" t="inlineStr">
        <is>
          <t>Provoquer des logs de chaque niveau (start/stop, erreur)</t>
        </is>
      </c>
      <c r="F36" s="4" t="inlineStr">
        <is>
          <t>—</t>
        </is>
      </c>
      <c r="G36" s="4" t="inlineStr">
        <is>
          <t>—</t>
        </is>
      </c>
      <c r="H36" s="4" t="inlineStr">
        <is>
          <t>DEBUG gris, INFO blanc, WARNING ambre, ERROR rouge, SUCCESS vert</t>
        </is>
      </c>
      <c r="K36" s="2" t="inlineStr">
        <is>
          <t>Mineur</t>
        </is>
      </c>
    </row>
    <row r="37">
      <c r="A37" s="2" t="inlineStr">
        <is>
          <t>T-036</t>
        </is>
      </c>
      <c r="B37" s="3" t="inlineStr">
        <is>
          <t>IHM</t>
        </is>
      </c>
      <c r="C37" s="2" t="inlineStr">
        <is>
          <t>REQ-007</t>
        </is>
      </c>
      <c r="D37" s="4" t="inlineStr">
        <is>
          <t>global_progress_label initial 'Prêt'</t>
        </is>
      </c>
      <c r="E37" s="4" t="inlineStr">
        <is>
          <t>Au démarrage de l'app</t>
        </is>
      </c>
      <c r="F37" s="4" t="inlineStr">
        <is>
          <t>—</t>
        </is>
      </c>
      <c r="G37" s="4" t="inlineStr">
        <is>
          <t>—</t>
        </is>
      </c>
      <c r="H37" s="4" t="inlineStr">
        <is>
          <t>Label gauche affiche 'Prêt' en gras</t>
        </is>
      </c>
      <c r="K37" s="2" t="inlineStr">
        <is>
          <t>Mineur</t>
        </is>
      </c>
    </row>
    <row r="38">
      <c r="A38" s="2" t="inlineStr">
        <is>
          <t>T-037</t>
        </is>
      </c>
      <c r="B38" s="3" t="inlineStr">
        <is>
          <t>IHM</t>
        </is>
      </c>
      <c r="C38" s="2" t="inlineStr">
        <is>
          <t>REQ-007</t>
        </is>
      </c>
      <c r="D38" s="4" t="inlineStr">
        <is>
          <t>global_progress_bar visible vide</t>
        </is>
      </c>
      <c r="E38" s="4" t="inlineStr">
        <is>
          <t>Au démarrage</t>
        </is>
      </c>
      <c r="F38" s="4" t="inlineStr">
        <is>
          <t>—</t>
        </is>
      </c>
      <c r="G38" s="4" t="inlineStr">
        <is>
          <t>—</t>
        </is>
      </c>
      <c r="H38" s="4" t="inlineStr">
        <is>
          <t>Barre 20 px haute, bordure visible, vide</t>
        </is>
      </c>
      <c r="K38" s="2" t="inlineStr">
        <is>
          <t>Majeur</t>
        </is>
      </c>
    </row>
    <row r="39">
      <c r="A39" s="2" t="inlineStr">
        <is>
          <t>T-038</t>
        </is>
      </c>
      <c r="B39" s="3" t="inlineStr">
        <is>
          <t>IHM</t>
        </is>
      </c>
      <c r="C39" s="2" t="inlineStr">
        <is>
          <t>REQ-007</t>
        </is>
      </c>
      <c r="D39" s="4" t="inlineStr">
        <is>
          <t>global_progress_percent '0 %' initial</t>
        </is>
      </c>
      <c r="E39" s="4" t="inlineStr">
        <is>
          <t>Au démarrage</t>
        </is>
      </c>
      <c r="F39" s="4" t="inlineStr">
        <is>
          <t>—</t>
        </is>
      </c>
      <c r="G39" s="4" t="inlineStr">
        <is>
          <t>—</t>
        </is>
      </c>
      <c r="H39" s="4" t="inlineStr">
        <is>
          <t>Label droit affiche '0 %'</t>
        </is>
      </c>
      <c r="K39" s="2" t="inlineStr">
        <is>
          <t>Majeur</t>
        </is>
      </c>
    </row>
    <row r="40">
      <c r="A40" s="2" t="inlineStr">
        <is>
          <t>T-039</t>
        </is>
      </c>
      <c r="B40" s="3" t="inlineStr">
        <is>
          <t>IHM</t>
        </is>
      </c>
      <c r="C40" s="2" t="inlineStr">
        <is>
          <t>REQ-014</t>
        </is>
      </c>
      <c r="D40" s="4" t="inlineStr">
        <is>
          <t>Slider FPS - changement de valeur</t>
        </is>
      </c>
      <c r="E40" s="4" t="inlineStr">
        <is>
          <t>Glisser le slider FPS à 60</t>
        </is>
      </c>
      <c r="F40" s="4" t="inlineStr">
        <is>
          <t>Section Vidéo dépliée</t>
        </is>
      </c>
      <c r="G40" s="4" t="inlineStr">
        <is>
          <t>—</t>
        </is>
      </c>
      <c r="H40" s="4" t="inlineStr">
        <is>
          <t>Label valeur affiche '60.0' et la valeur sera utilisée au prochain run</t>
        </is>
      </c>
      <c r="K40" s="2" t="inlineStr">
        <is>
          <t>Mineur</t>
        </is>
      </c>
    </row>
    <row r="41">
      <c r="A41" s="2" t="inlineStr">
        <is>
          <t>T-040</t>
        </is>
      </c>
      <c r="B41" s="3" t="inlineStr">
        <is>
          <t>IHM</t>
        </is>
      </c>
      <c r="C41" s="2" t="inlineStr">
        <is>
          <t>REQ-014</t>
        </is>
      </c>
      <c r="D41" s="4" t="inlineStr">
        <is>
          <t>Dropdown Qualité - changement</t>
        </is>
      </c>
      <c r="E41" s="4" t="inlineStr">
        <is>
          <t>Sélectionner 'Maximum' dans Qualité</t>
        </is>
      </c>
      <c r="F41" s="4" t="inlineStr">
        <is>
          <t>Section Vidéo dépliée</t>
        </is>
      </c>
      <c r="G41" s="4" t="inlineStr">
        <is>
          <t>—</t>
        </is>
      </c>
      <c r="H41" s="4" t="inlineStr">
        <is>
          <t>Valeur stockée, mapping vers preset 'slower' au prochain run (log)</t>
        </is>
      </c>
      <c r="K41" s="2" t="inlineStr">
        <is>
          <t>Majeur</t>
        </is>
      </c>
    </row>
    <row r="42">
      <c r="A42" s="2" t="inlineStr">
        <is>
          <t>T-041</t>
        </is>
      </c>
      <c r="B42" s="5" t="inlineStr">
        <is>
          <t>Paramètres</t>
        </is>
      </c>
      <c r="C42" s="2" t="inlineStr">
        <is>
          <t>REQ-014</t>
        </is>
      </c>
      <c r="D42" s="4" t="inlineStr">
        <is>
          <t>Pairwise 1/16 : Lineaire/Normal/Basse/Original</t>
        </is>
      </c>
      <c r="E42" s="4" t="inlineStr">
        <is>
          <t>Workflow avec Easing=Lineaire, Fusion=Normal, Qualité=Basse, Résolution=Original</t>
        </is>
      </c>
      <c r="F42" s="4" t="inlineStr">
        <is>
          <t>input_nominal</t>
        </is>
      </c>
      <c r="G42" s="4" t="inlineStr">
        <is>
          <t>input_nominal</t>
        </is>
      </c>
      <c r="H42" s="4" t="inlineStr">
        <is>
          <t>Vidéo produite, preset ffmpeg='ultrafast', easing=LINEAR, blend=ALPHA</t>
        </is>
      </c>
      <c r="K42" s="2" t="inlineStr">
        <is>
          <t>Majeur</t>
        </is>
      </c>
    </row>
    <row r="43">
      <c r="A43" s="2" t="inlineStr">
        <is>
          <t>T-042</t>
        </is>
      </c>
      <c r="B43" s="5" t="inlineStr">
        <is>
          <t>Paramètres</t>
        </is>
      </c>
      <c r="C43" s="2" t="inlineStr">
        <is>
          <t>REQ-014</t>
        </is>
      </c>
      <c r="D43" s="4" t="inlineStr">
        <is>
          <t>Pairwise 2/16 : Lineaire/Cross-dissolve/Moyenne/1080p</t>
        </is>
      </c>
      <c r="E43" s="4" t="inlineStr">
        <is>
          <t>Easing=Lineaire, Fusion=Cross-dissolve, Qualité=Moyenne, Résolution=1080p</t>
        </is>
      </c>
      <c r="F43" s="4" t="inlineStr">
        <is>
          <t>input_nominal</t>
        </is>
      </c>
      <c r="G43" s="4" t="inlineStr">
        <is>
          <t>input_nominal</t>
        </is>
      </c>
      <c r="H43" s="4" t="inlineStr">
        <is>
          <t>Vidéo 1080p, preset='medium', blend=ALPHA (cross-dissolve→alpha)</t>
        </is>
      </c>
      <c r="K43" s="2" t="inlineStr">
        <is>
          <t>Majeur</t>
        </is>
      </c>
    </row>
    <row r="44">
      <c r="A44" s="2" t="inlineStr">
        <is>
          <t>T-043</t>
        </is>
      </c>
      <c r="B44" s="5" t="inlineStr">
        <is>
          <t>Paramètres</t>
        </is>
      </c>
      <c r="C44" s="2" t="inlineStr">
        <is>
          <t>REQ-014</t>
        </is>
      </c>
      <c r="D44" s="4" t="inlineStr">
        <is>
          <t>Pairwise 3/16 : Lineaire/Additive/Haute/720p</t>
        </is>
      </c>
      <c r="E44" s="4" t="inlineStr">
        <is>
          <t>—</t>
        </is>
      </c>
      <c r="F44" s="4" t="inlineStr">
        <is>
          <t>input_nominal</t>
        </is>
      </c>
      <c r="G44" s="4" t="inlineStr">
        <is>
          <t>input_nominal</t>
        </is>
      </c>
      <c r="H44" s="4" t="inlineStr">
        <is>
          <t>Vidéo 720p, preset='slow', blend=ADDITIVE</t>
        </is>
      </c>
      <c r="K44" s="2" t="inlineStr">
        <is>
          <t>Majeur</t>
        </is>
      </c>
    </row>
    <row r="45">
      <c r="A45" s="2" t="inlineStr">
        <is>
          <t>T-044</t>
        </is>
      </c>
      <c r="B45" s="5" t="inlineStr">
        <is>
          <t>Paramètres</t>
        </is>
      </c>
      <c r="C45" s="2" t="inlineStr">
        <is>
          <t>REQ-014</t>
        </is>
      </c>
      <c r="D45" s="4" t="inlineStr">
        <is>
          <t>Pairwise 4/16 : Ease In/Out/Normal/Haute/480p</t>
        </is>
      </c>
      <c r="E45" s="4" t="inlineStr">
        <is>
          <t>—</t>
        </is>
      </c>
      <c r="F45" s="4" t="inlineStr">
        <is>
          <t>input_nominal</t>
        </is>
      </c>
      <c r="G45" s="4" t="inlineStr">
        <is>
          <t>input_nominal</t>
        </is>
      </c>
      <c r="H45" s="4" t="inlineStr">
        <is>
          <t>Vidéo 480p, preset='slow', easing=EASE_IN_OUT</t>
        </is>
      </c>
      <c r="K45" s="2" t="inlineStr">
        <is>
          <t>Majeur</t>
        </is>
      </c>
    </row>
    <row r="46">
      <c r="A46" s="2" t="inlineStr">
        <is>
          <t>T-045</t>
        </is>
      </c>
      <c r="B46" s="5" t="inlineStr">
        <is>
          <t>Paramètres</t>
        </is>
      </c>
      <c r="C46" s="2" t="inlineStr">
        <is>
          <t>REQ-014</t>
        </is>
      </c>
      <c r="D46" s="4" t="inlineStr">
        <is>
          <t>Pairwise 5/16 : Ease In/Out/Cross-dissolve/Maximum/Original</t>
        </is>
      </c>
      <c r="E46" s="4" t="inlineStr">
        <is>
          <t>—</t>
        </is>
      </c>
      <c r="F46" s="4" t="inlineStr">
        <is>
          <t>input_nominal</t>
        </is>
      </c>
      <c r="G46" s="4" t="inlineStr">
        <is>
          <t>input_nominal</t>
        </is>
      </c>
      <c r="H46" s="4" t="inlineStr">
        <is>
          <t>Preset='slower', easing=EASE_IN_OUT</t>
        </is>
      </c>
      <c r="K46" s="2" t="inlineStr">
        <is>
          <t>Majeur</t>
        </is>
      </c>
    </row>
    <row r="47">
      <c r="A47" s="2" t="inlineStr">
        <is>
          <t>T-046</t>
        </is>
      </c>
      <c r="B47" s="5" t="inlineStr">
        <is>
          <t>Paramètres</t>
        </is>
      </c>
      <c r="C47" s="2" t="inlineStr">
        <is>
          <t>REQ-014</t>
        </is>
      </c>
      <c r="D47" s="4" t="inlineStr">
        <is>
          <t>Pairwise 6/16 : Ease In/Out/Additive/Basse/720p</t>
        </is>
      </c>
      <c r="E47" s="4" t="inlineStr">
        <is>
          <t>—</t>
        </is>
      </c>
      <c r="F47" s="4" t="inlineStr">
        <is>
          <t>input_nominal</t>
        </is>
      </c>
      <c r="G47" s="4" t="inlineStr">
        <is>
          <t>input_nominal</t>
        </is>
      </c>
      <c r="H47" s="4" t="inlineStr">
        <is>
          <t>Preset='ultrafast', blend=ADDITIVE</t>
        </is>
      </c>
      <c r="K47" s="2" t="inlineStr">
        <is>
          <t>Majeur</t>
        </is>
      </c>
    </row>
    <row r="48">
      <c r="A48" s="2" t="inlineStr">
        <is>
          <t>T-047</t>
        </is>
      </c>
      <c r="B48" s="5" t="inlineStr">
        <is>
          <t>Paramètres</t>
        </is>
      </c>
      <c r="C48" s="2" t="inlineStr">
        <is>
          <t>REQ-014</t>
        </is>
      </c>
      <c r="D48" s="4" t="inlineStr">
        <is>
          <t>Pairwise 7/16 : Ease In/Normal/Haute/1080p</t>
        </is>
      </c>
      <c r="E48" s="4" t="inlineStr">
        <is>
          <t>—</t>
        </is>
      </c>
      <c r="F48" s="4" t="inlineStr">
        <is>
          <t>input_nominal</t>
        </is>
      </c>
      <c r="G48" s="4" t="inlineStr">
        <is>
          <t>input_nominal</t>
        </is>
      </c>
      <c r="H48" s="4" t="inlineStr">
        <is>
          <t>Easing=EASE_IN, preset='slow', 1080p</t>
        </is>
      </c>
      <c r="K48" s="2" t="inlineStr">
        <is>
          <t>Majeur</t>
        </is>
      </c>
    </row>
    <row r="49">
      <c r="A49" s="2" t="inlineStr">
        <is>
          <t>T-048</t>
        </is>
      </c>
      <c r="B49" s="5" t="inlineStr">
        <is>
          <t>Paramètres</t>
        </is>
      </c>
      <c r="C49" s="2" t="inlineStr">
        <is>
          <t>REQ-014</t>
        </is>
      </c>
      <c r="D49" s="4" t="inlineStr">
        <is>
          <t>Pairwise 8/16 : Ease In/Cross-dissolve/Basse/480p</t>
        </is>
      </c>
      <c r="E49" s="4" t="inlineStr">
        <is>
          <t>—</t>
        </is>
      </c>
      <c r="F49" s="4" t="inlineStr">
        <is>
          <t>input_nominal</t>
        </is>
      </c>
      <c r="G49" s="4" t="inlineStr">
        <is>
          <t>input_nominal</t>
        </is>
      </c>
      <c r="H49" s="4" t="inlineStr">
        <is>
          <t>Easing=EASE_IN, preset='ultrafast', 480p</t>
        </is>
      </c>
      <c r="K49" s="2" t="inlineStr">
        <is>
          <t>Mineur</t>
        </is>
      </c>
    </row>
    <row r="50">
      <c r="A50" s="2" t="inlineStr">
        <is>
          <t>T-049</t>
        </is>
      </c>
      <c r="B50" s="5" t="inlineStr">
        <is>
          <t>Paramètres</t>
        </is>
      </c>
      <c r="C50" s="2" t="inlineStr">
        <is>
          <t>REQ-014</t>
        </is>
      </c>
      <c r="D50" s="4" t="inlineStr">
        <is>
          <t>Pairwise 9/16 : Ease In/Additive/Moyenne/Original</t>
        </is>
      </c>
      <c r="E50" s="4" t="inlineStr">
        <is>
          <t>—</t>
        </is>
      </c>
      <c r="F50" s="4" t="inlineStr">
        <is>
          <t>input_nominal</t>
        </is>
      </c>
      <c r="G50" s="4" t="inlineStr">
        <is>
          <t>input_nominal</t>
        </is>
      </c>
      <c r="H50" s="4" t="inlineStr">
        <is>
          <t>Easing=EASE_IN, blend=ADDITIVE, preset='medium'</t>
        </is>
      </c>
      <c r="K50" s="2" t="inlineStr">
        <is>
          <t>Mineur</t>
        </is>
      </c>
    </row>
    <row r="51">
      <c r="A51" s="2" t="inlineStr">
        <is>
          <t>T-050</t>
        </is>
      </c>
      <c r="B51" s="5" t="inlineStr">
        <is>
          <t>Paramètres</t>
        </is>
      </c>
      <c r="C51" s="2" t="inlineStr">
        <is>
          <t>REQ-014</t>
        </is>
      </c>
      <c r="D51" s="4" t="inlineStr">
        <is>
          <t>Pairwise 10/16 : Ease Out/Normal/Maximum/720p</t>
        </is>
      </c>
      <c r="E51" s="4" t="inlineStr">
        <is>
          <t>—</t>
        </is>
      </c>
      <c r="F51" s="4" t="inlineStr">
        <is>
          <t>input_nominal</t>
        </is>
      </c>
      <c r="G51" s="4" t="inlineStr">
        <is>
          <t>input_nominal</t>
        </is>
      </c>
      <c r="H51" s="4" t="inlineStr">
        <is>
          <t>Easing=EASE_OUT, preset='slower', 720p</t>
        </is>
      </c>
      <c r="K51" s="2" t="inlineStr">
        <is>
          <t>Mineur</t>
        </is>
      </c>
    </row>
    <row r="52">
      <c r="A52" s="2" t="inlineStr">
        <is>
          <t>T-051</t>
        </is>
      </c>
      <c r="B52" s="5" t="inlineStr">
        <is>
          <t>Paramètres</t>
        </is>
      </c>
      <c r="C52" s="2" t="inlineStr">
        <is>
          <t>REQ-014</t>
        </is>
      </c>
      <c r="D52" s="4" t="inlineStr">
        <is>
          <t>Pairwise 11/16 : Ease Out/Cross-dissolve/Haute/Original</t>
        </is>
      </c>
      <c r="E52" s="4" t="inlineStr">
        <is>
          <t>—</t>
        </is>
      </c>
      <c r="F52" s="4" t="inlineStr">
        <is>
          <t>input_nominal</t>
        </is>
      </c>
      <c r="G52" s="4" t="inlineStr">
        <is>
          <t>input_nominal</t>
        </is>
      </c>
      <c r="H52" s="4" t="inlineStr">
        <is>
          <t>Easing=EASE_OUT, preset='slow', original</t>
        </is>
      </c>
      <c r="K52" s="2" t="inlineStr">
        <is>
          <t>Mineur</t>
        </is>
      </c>
    </row>
    <row r="53">
      <c r="A53" s="2" t="inlineStr">
        <is>
          <t>T-052</t>
        </is>
      </c>
      <c r="B53" s="5" t="inlineStr">
        <is>
          <t>Paramètres</t>
        </is>
      </c>
      <c r="C53" s="2" t="inlineStr">
        <is>
          <t>REQ-014</t>
        </is>
      </c>
      <c r="D53" s="4" t="inlineStr">
        <is>
          <t>Pairwise 12/16 : Ease Out/Additive/Maximum/480p</t>
        </is>
      </c>
      <c r="E53" s="4" t="inlineStr">
        <is>
          <t>—</t>
        </is>
      </c>
      <c r="F53" s="4" t="inlineStr">
        <is>
          <t>input_nominal</t>
        </is>
      </c>
      <c r="G53" s="4" t="inlineStr">
        <is>
          <t>input_nominal</t>
        </is>
      </c>
      <c r="H53" s="4" t="inlineStr">
        <is>
          <t>Easing=EASE_OUT, blend=ADDITIVE, preset='slower'</t>
        </is>
      </c>
      <c r="K53" s="2" t="inlineStr">
        <is>
          <t>Mineur</t>
        </is>
      </c>
    </row>
    <row r="54">
      <c r="A54" s="2" t="inlineStr">
        <is>
          <t>T-053</t>
        </is>
      </c>
      <c r="B54" s="5" t="inlineStr">
        <is>
          <t>Paramètres</t>
        </is>
      </c>
      <c r="C54" s="2" t="inlineStr">
        <is>
          <t>REQ-014</t>
        </is>
      </c>
      <c r="D54" s="4" t="inlineStr">
        <is>
          <t>Pairwise 13/16 : Lineaire/Normal/Moyenne/720p</t>
        </is>
      </c>
      <c r="E54" s="4" t="inlineStr">
        <is>
          <t>—</t>
        </is>
      </c>
      <c r="F54" s="4" t="inlineStr">
        <is>
          <t>input_nominal</t>
        </is>
      </c>
      <c r="G54" s="4" t="inlineStr">
        <is>
          <t>input_nominal</t>
        </is>
      </c>
      <c r="H54" s="4" t="inlineStr">
        <is>
          <t>OK</t>
        </is>
      </c>
      <c r="K54" s="2" t="inlineStr">
        <is>
          <t>Mineur</t>
        </is>
      </c>
    </row>
    <row r="55">
      <c r="A55" s="2" t="inlineStr">
        <is>
          <t>T-054</t>
        </is>
      </c>
      <c r="B55" s="5" t="inlineStr">
        <is>
          <t>Paramètres</t>
        </is>
      </c>
      <c r="C55" s="2" t="inlineStr">
        <is>
          <t>REQ-014</t>
        </is>
      </c>
      <c r="D55" s="4" t="inlineStr">
        <is>
          <t>Pairwise 14/16 : Ease In/Out/Normal/Basse/Original</t>
        </is>
      </c>
      <c r="E55" s="4" t="inlineStr">
        <is>
          <t>—</t>
        </is>
      </c>
      <c r="F55" s="4" t="inlineStr">
        <is>
          <t>input_nominal</t>
        </is>
      </c>
      <c r="G55" s="4" t="inlineStr">
        <is>
          <t>input_nominal</t>
        </is>
      </c>
      <c r="H55" s="4" t="inlineStr">
        <is>
          <t>OK</t>
        </is>
      </c>
      <c r="K55" s="2" t="inlineStr">
        <is>
          <t>Mineur</t>
        </is>
      </c>
    </row>
    <row r="56">
      <c r="A56" s="2" t="inlineStr">
        <is>
          <t>T-055</t>
        </is>
      </c>
      <c r="B56" s="5" t="inlineStr">
        <is>
          <t>Paramètres</t>
        </is>
      </c>
      <c r="C56" s="2" t="inlineStr">
        <is>
          <t>REQ-014</t>
        </is>
      </c>
      <c r="D56" s="4" t="inlineStr">
        <is>
          <t>Pairwise 15/16 : Ease In/Cross-dissolve/Maximum/720p</t>
        </is>
      </c>
      <c r="E56" s="4" t="inlineStr">
        <is>
          <t>—</t>
        </is>
      </c>
      <c r="F56" s="4" t="inlineStr">
        <is>
          <t>input_nominal</t>
        </is>
      </c>
      <c r="G56" s="4" t="inlineStr">
        <is>
          <t>input_nominal</t>
        </is>
      </c>
      <c r="H56" s="4" t="inlineStr">
        <is>
          <t>OK</t>
        </is>
      </c>
      <c r="K56" s="2" t="inlineStr">
        <is>
          <t>Mineur</t>
        </is>
      </c>
    </row>
    <row r="57">
      <c r="A57" s="2" t="inlineStr">
        <is>
          <t>T-056</t>
        </is>
      </c>
      <c r="B57" s="5" t="inlineStr">
        <is>
          <t>Paramètres</t>
        </is>
      </c>
      <c r="C57" s="2" t="inlineStr">
        <is>
          <t>REQ-014</t>
        </is>
      </c>
      <c r="D57" s="4" t="inlineStr">
        <is>
          <t>Pairwise 16/16 : Ease Out/Cross-dissolve/Basse/1080p</t>
        </is>
      </c>
      <c r="E57" s="4" t="inlineStr">
        <is>
          <t>—</t>
        </is>
      </c>
      <c r="F57" s="4" t="inlineStr">
        <is>
          <t>input_nominal</t>
        </is>
      </c>
      <c r="G57" s="4" t="inlineStr">
        <is>
          <t>input_nominal</t>
        </is>
      </c>
      <c r="H57" s="4" t="inlineStr">
        <is>
          <t>OK</t>
        </is>
      </c>
      <c r="K57" s="2" t="inlineStr">
        <is>
          <t>Mineur</t>
        </is>
      </c>
    </row>
    <row r="58">
      <c r="A58" s="2" t="inlineStr">
        <is>
          <t>T-057</t>
        </is>
      </c>
      <c r="B58" s="5" t="inlineStr">
        <is>
          <t>Paramètres</t>
        </is>
      </c>
      <c r="C58" s="2" t="inlineStr">
        <is>
          <t>REQ-009</t>
        </is>
      </c>
      <c r="D58" s="4" t="inlineStr">
        <is>
          <t>Slider Tentatives min (1)</t>
        </is>
      </c>
      <c r="E58" s="4" t="inlineStr">
        <is>
          <t>Workflow avec retry_detection=1 sur input difficile</t>
        </is>
      </c>
      <c r="F58" s="4" t="inlineStr">
        <is>
          <t>input avec visage difficile</t>
        </is>
      </c>
      <c r="G58" s="4" t="inlineStr">
        <is>
          <t>—</t>
        </is>
      </c>
      <c r="H58" s="4" t="inlineStr">
        <is>
          <t>Si dlib échoue à la 1ʳᵉ tentative, image marquée 'aucun visage détecté'</t>
        </is>
      </c>
      <c r="K58" s="2" t="inlineStr">
        <is>
          <t>Majeur</t>
        </is>
      </c>
    </row>
    <row r="59">
      <c r="A59" s="2" t="inlineStr">
        <is>
          <t>T-058</t>
        </is>
      </c>
      <c r="B59" s="5" t="inlineStr">
        <is>
          <t>Paramètres</t>
        </is>
      </c>
      <c r="C59" s="2" t="inlineStr">
        <is>
          <t>REQ-009</t>
        </is>
      </c>
      <c r="D59" s="4" t="inlineStr">
        <is>
          <t>Slider Tentatives max (5)</t>
        </is>
      </c>
      <c r="E59" s="4" t="inlineStr">
        <is>
          <t>Workflow avec retry_detection=5</t>
        </is>
      </c>
      <c r="F59" s="4" t="inlineStr">
        <is>
          <t>input_no_face</t>
        </is>
      </c>
      <c r="G59" s="4" t="inlineStr">
        <is>
          <t>input_no_face</t>
        </is>
      </c>
      <c r="H59" s="4" t="inlineStr">
        <is>
          <t>Logs: 'Tentative 1', '2', ..., '5' avant warning final</t>
        </is>
      </c>
      <c r="K59" s="2" t="inlineStr">
        <is>
          <t>Mineur</t>
        </is>
      </c>
    </row>
    <row r="60">
      <c r="A60" s="2" t="inlineStr">
        <is>
          <t>T-059</t>
        </is>
      </c>
      <c r="B60" s="5" t="inlineStr">
        <is>
          <t>Paramètres</t>
        </is>
      </c>
      <c r="C60" s="2" t="inlineStr">
        <is>
          <t>REQ-014</t>
        </is>
      </c>
      <c r="D60" s="4" t="inlineStr">
        <is>
          <t>Slider FPS bornes (10 et 60)</t>
        </is>
      </c>
      <c r="E60" s="4" t="inlineStr">
        <is>
          <t>Deux runs successifs avec FPS=10 puis FPS=60</t>
        </is>
      </c>
      <c r="F60" s="4" t="inlineStr">
        <is>
          <t>input_nominal</t>
        </is>
      </c>
      <c r="G60" s="4" t="inlineStr">
        <is>
          <t>input_nominal</t>
        </is>
      </c>
      <c r="H60" s="4" t="inlineStr">
        <is>
          <t>Vidéo de durée appropriée : à 60 fps, 3 s = 180 frames</t>
        </is>
      </c>
      <c r="K60" s="2" t="inlineStr">
        <is>
          <t>Majeur</t>
        </is>
      </c>
    </row>
    <row r="61">
      <c r="A61" s="2" t="inlineStr">
        <is>
          <t>T-060</t>
        </is>
      </c>
      <c r="B61" s="5" t="inlineStr">
        <is>
          <t>Paramètres</t>
        </is>
      </c>
      <c r="C61" s="2" t="inlineStr">
        <is>
          <t>—</t>
        </is>
      </c>
      <c r="D61" s="4" t="inlineStr">
        <is>
          <t>Slider Transition bornes (0.5 et 10)</t>
        </is>
      </c>
      <c r="E61" s="4" t="inlineStr">
        <is>
          <t>—</t>
        </is>
      </c>
      <c r="F61" s="4" t="inlineStr">
        <is>
          <t>input_nominal</t>
        </is>
      </c>
      <c r="G61" s="4" t="inlineStr">
        <is>
          <t>input_nominal</t>
        </is>
      </c>
      <c r="H61" s="4" t="inlineStr">
        <is>
          <t>Durée vidéo cohérente (transition×fps)</t>
        </is>
      </c>
      <c r="K61" s="2" t="inlineStr">
        <is>
          <t>Mineur</t>
        </is>
      </c>
    </row>
    <row r="62">
      <c r="A62" s="2" t="inlineStr">
        <is>
          <t>T-061</t>
        </is>
      </c>
      <c r="B62" s="5" t="inlineStr">
        <is>
          <t>Paramètres</t>
        </is>
      </c>
      <c r="C62" s="2" t="inlineStr">
        <is>
          <t>—</t>
        </is>
      </c>
      <c r="D62" s="4" t="inlineStr">
        <is>
          <t>Slider Pause bornes (0 et 5)</t>
        </is>
      </c>
      <c r="E62" s="4" t="inlineStr">
        <is>
          <t>—</t>
        </is>
      </c>
      <c r="F62" s="4" t="inlineStr">
        <is>
          <t>input_nominal</t>
        </is>
      </c>
      <c r="G62" s="4" t="inlineStr">
        <is>
          <t>input_nominal</t>
        </is>
      </c>
      <c r="H62" s="4" t="inlineStr">
        <is>
          <t>Pauses bien insérées entre les transitions</t>
        </is>
      </c>
      <c r="K62" s="2" t="inlineStr">
        <is>
          <t>Mineur</t>
        </is>
      </c>
    </row>
    <row r="63">
      <c r="A63" s="2" t="inlineStr">
        <is>
          <t>T-062</t>
        </is>
      </c>
      <c r="B63" s="5" t="inlineStr">
        <is>
          <t>Paramètres</t>
        </is>
      </c>
      <c r="C63" s="2" t="inlineStr">
        <is>
          <t>—</t>
        </is>
      </c>
      <c r="D63" s="4" t="inlineStr">
        <is>
          <t>Slider Bordure bornes (0 et 100)</t>
        </is>
      </c>
      <c r="E63" s="4" t="inlineStr">
        <is>
          <t>—</t>
        </is>
      </c>
      <c r="F63" s="4" t="inlineStr">
        <is>
          <t>input_nominal</t>
        </is>
      </c>
      <c r="G63" s="4" t="inlineStr">
        <is>
          <t>input_nominal</t>
        </is>
      </c>
      <c r="H63" s="4" t="inlineStr">
        <is>
          <t>Bordure blanche visible sur sorties alignées</t>
        </is>
      </c>
      <c r="K63" s="2" t="inlineStr">
        <is>
          <t>Mineur</t>
        </is>
      </c>
    </row>
    <row r="64">
      <c r="A64" s="2" t="inlineStr">
        <is>
          <t>T-063</t>
        </is>
      </c>
      <c r="B64" s="6" t="inlineStr">
        <is>
          <t>Entrées</t>
        </is>
      </c>
      <c r="C64" s="2" t="inlineStr">
        <is>
          <t>REQ-001 / REQ-008</t>
        </is>
      </c>
      <c r="D64" s="4" t="inlineStr">
        <is>
          <t>Workflow nominal synthétique</t>
        </is>
      </c>
      <c r="E64" s="4" t="inlineStr">
        <is>
          <t>Workflow complet avec dossier de visages synthétiques</t>
        </is>
      </c>
      <c r="F64" s="4" t="inlineStr">
        <is>
          <t>Modèle dlib présent</t>
        </is>
      </c>
      <c r="G64" s="4" t="inlineStr">
        <is>
          <t>input_nominal</t>
        </is>
      </c>
      <c r="H64" s="4" t="inlineStr">
        <is>
          <t>Pipeline atteint Morph mais 'aucun visage détecté' (formes géométriques non reconnues par dlib) → fallback cross-dissolve</t>
        </is>
      </c>
      <c r="K64" s="2" t="inlineStr">
        <is>
          <t>Bloquant</t>
        </is>
      </c>
    </row>
    <row r="65">
      <c r="A65" s="2" t="inlineStr">
        <is>
          <t>T-064</t>
        </is>
      </c>
      <c r="B65" s="6" t="inlineStr">
        <is>
          <t>Entrées</t>
        </is>
      </c>
      <c r="C65" s="2" t="inlineStr">
        <is>
          <t>REQ-017</t>
        </is>
      </c>
      <c r="D65" s="4" t="inlineStr">
        <is>
          <t>Dossier source vide</t>
        </is>
      </c>
      <c r="E65" s="4" t="inlineStr">
        <is>
          <t>Sélectionner input_vide puis cliquer Lancer</t>
        </is>
      </c>
      <c r="F65" s="4" t="inlineStr">
        <is>
          <t>—</t>
        </is>
      </c>
      <c r="G65" s="4" t="inlineStr">
        <is>
          <t>input_vide</t>
        </is>
      </c>
      <c r="H65" s="4" t="inlineStr">
        <is>
          <t>Messagebox d'erreur 'Aucune image trouvée dans le dossier source', pas de thread lancé</t>
        </is>
      </c>
      <c r="K65" s="2" t="inlineStr">
        <is>
          <t>Bloquant</t>
        </is>
      </c>
    </row>
    <row r="66">
      <c r="A66" s="2" t="inlineStr">
        <is>
          <t>T-065</t>
        </is>
      </c>
      <c r="B66" s="6" t="inlineStr">
        <is>
          <t>Entrées</t>
        </is>
      </c>
      <c r="C66" s="2" t="inlineStr">
        <is>
          <t>REQ-017</t>
        </is>
      </c>
      <c r="D66" s="4" t="inlineStr">
        <is>
          <t>Dossier avec 1 seule image</t>
        </is>
      </c>
      <c r="E66" s="4" t="inlineStr">
        <is>
          <t>—</t>
        </is>
      </c>
      <c r="F66" s="4" t="inlineStr">
        <is>
          <t>—</t>
        </is>
      </c>
      <c r="G66" s="4" t="inlineStr">
        <is>
          <t>input_1image</t>
        </is>
      </c>
      <c r="H66" s="4" t="inlineStr">
        <is>
          <t>Etape Import OK ; étape Morph raise 'Au moins 2 images nécessaires'</t>
        </is>
      </c>
      <c r="K66" s="2" t="inlineStr">
        <is>
          <t>Majeur</t>
        </is>
      </c>
    </row>
    <row r="67">
      <c r="A67" s="2" t="inlineStr">
        <is>
          <t>T-066</t>
        </is>
      </c>
      <c r="B67" s="6" t="inlineStr">
        <is>
          <t>Entrées</t>
        </is>
      </c>
      <c r="C67" s="2" t="inlineStr">
        <is>
          <t>—</t>
        </is>
      </c>
      <c r="D67" s="4" t="inlineStr">
        <is>
          <t>100 images (volume)</t>
        </is>
      </c>
      <c r="E67" s="4" t="inlineStr">
        <is>
          <t>Workflow nominal sur volume</t>
        </is>
      </c>
      <c r="F67" s="4" t="inlineStr">
        <is>
          <t>—</t>
        </is>
      </c>
      <c r="G67" s="4" t="inlineStr">
        <is>
          <t>input_volume</t>
        </is>
      </c>
      <c r="H67" s="4" t="inlineStr">
        <is>
          <t>Termine sans crash, mémoire &lt; 1 GB, durée raisonnable</t>
        </is>
      </c>
      <c r="K67" s="2" t="inlineStr">
        <is>
          <t>Majeur</t>
        </is>
      </c>
    </row>
    <row r="68">
      <c r="A68" s="2" t="inlineStr">
        <is>
          <t>T-067</t>
        </is>
      </c>
      <c r="B68" s="6" t="inlineStr">
        <is>
          <t>Entrées</t>
        </is>
      </c>
      <c r="C68" s="2" t="inlineStr">
        <is>
          <t>—</t>
        </is>
      </c>
      <c r="D68" s="4" t="inlineStr">
        <is>
          <t>Mauvais format (.png texte)</t>
        </is>
      </c>
      <c r="E68" s="4" t="inlineStr">
        <is>
          <t>—</t>
        </is>
      </c>
      <c r="F68" s="4" t="inlineStr">
        <is>
          <t>—</t>
        </is>
      </c>
      <c r="G68" s="4" t="inlineStr">
        <is>
          <t>input_mauvais_format</t>
        </is>
      </c>
      <c r="H68" s="4" t="inlineStr">
        <is>
          <t>validate_image_file raise CORRUPTED, images skippées avec warning</t>
        </is>
      </c>
      <c r="K68" s="2" t="inlineStr">
        <is>
          <t>Majeur</t>
        </is>
      </c>
    </row>
    <row r="69">
      <c r="A69" s="2" t="inlineStr">
        <is>
          <t>T-068</t>
        </is>
      </c>
      <c r="B69" s="6" t="inlineStr">
        <is>
          <t>Entrées</t>
        </is>
      </c>
      <c r="C69" s="2" t="inlineStr">
        <is>
          <t>REQ-019</t>
        </is>
      </c>
      <c r="D69" s="4" t="inlineStr">
        <is>
          <t>Noms fichiers Unicode</t>
        </is>
      </c>
      <c r="E69" s="4" t="inlineStr">
        <is>
          <t>Workflow nominal</t>
        </is>
      </c>
      <c r="F69" s="4" t="inlineStr">
        <is>
          <t>—</t>
        </is>
      </c>
      <c r="G69" s="4" t="inlineStr">
        <is>
          <t>input_specchars</t>
        </is>
      </c>
      <c r="H69" s="4" t="inlineStr">
        <is>
          <t>Pas de crash, fichiers lus correctement, logs lisibles</t>
        </is>
      </c>
      <c r="K69" s="2" t="inlineStr">
        <is>
          <t>Majeur</t>
        </is>
      </c>
    </row>
    <row r="70">
      <c r="A70" s="2" t="inlineStr">
        <is>
          <t>T-069</t>
        </is>
      </c>
      <c r="B70" s="6" t="inlineStr">
        <is>
          <t>Entrées</t>
        </is>
      </c>
      <c r="C70" s="2" t="inlineStr">
        <is>
          <t>REQ-019</t>
        </is>
      </c>
      <c r="D70" s="4" t="inlineStr">
        <is>
          <t>Path racine avec espaces et #</t>
        </is>
      </c>
      <c r="E70" s="4" t="inlineStr">
        <is>
          <t>Workflow complet depuis D:\#Bureau\MorphoLapse\...</t>
        </is>
      </c>
      <c r="F70" s="4" t="inlineStr">
        <is>
          <t>—</t>
        </is>
      </c>
      <c r="G70" s="4" t="inlineStr">
        <is>
          <t>input_nominal</t>
        </is>
      </c>
      <c r="H70" s="4" t="inlineStr">
        <is>
          <t>OK (déjà validé smoke launch)</t>
        </is>
      </c>
      <c r="K70" s="2" t="inlineStr">
        <is>
          <t>Majeur</t>
        </is>
      </c>
    </row>
    <row r="71">
      <c r="A71" s="2" t="inlineStr">
        <is>
          <t>T-070</t>
        </is>
      </c>
      <c r="B71" s="6" t="inlineStr">
        <is>
          <t>Entrées</t>
        </is>
      </c>
      <c r="C71" s="2" t="inlineStr">
        <is>
          <t>—</t>
        </is>
      </c>
      <c r="D71" s="4" t="inlineStr">
        <is>
          <t>Images 2000×2000 (limite haute)</t>
        </is>
      </c>
      <c r="E71" s="4" t="inlineStr">
        <is>
          <t>—</t>
        </is>
      </c>
      <c r="F71" s="4" t="inlineStr">
        <is>
          <t>—</t>
        </is>
      </c>
      <c r="G71" s="4" t="inlineStr">
        <is>
          <t>input_limite_haute</t>
        </is>
      </c>
      <c r="H71" s="4" t="inlineStr">
        <is>
          <t>Pas de crash, mémoire &lt; 4 GB, vidéo produite à la résolution config</t>
        </is>
      </c>
      <c r="K71" s="2" t="inlineStr">
        <is>
          <t>Majeur</t>
        </is>
      </c>
    </row>
    <row r="72">
      <c r="A72" s="2" t="inlineStr">
        <is>
          <t>T-071</t>
        </is>
      </c>
      <c r="B72" s="6" t="inlineStr">
        <is>
          <t>Entrées</t>
        </is>
      </c>
      <c r="C72" s="2" t="inlineStr">
        <is>
          <t>—</t>
        </is>
      </c>
      <c r="D72" s="4" t="inlineStr">
        <is>
          <t>Images 64×64 (limite basse)</t>
        </is>
      </c>
      <c r="E72" s="4" t="inlineStr">
        <is>
          <t>—</t>
        </is>
      </c>
      <c r="F72" s="4" t="inlineStr">
        <is>
          <t>—</t>
        </is>
      </c>
      <c r="G72" s="4" t="inlineStr">
        <is>
          <t>input_limite_basse</t>
        </is>
      </c>
      <c r="H72" s="4" t="inlineStr">
        <is>
          <t>dlib échoue (image trop petite), fallback cross-dissolve</t>
        </is>
      </c>
      <c r="K72" s="2" t="inlineStr">
        <is>
          <t>Mineur</t>
        </is>
      </c>
    </row>
    <row r="73">
      <c r="A73" s="2" t="inlineStr">
        <is>
          <t>T-072</t>
        </is>
      </c>
      <c r="B73" s="6" t="inlineStr">
        <is>
          <t>Entrées</t>
        </is>
      </c>
      <c r="C73" s="2" t="inlineStr">
        <is>
          <t>—</t>
        </is>
      </c>
      <c r="D73" s="4" t="inlineStr">
        <is>
          <t>PNG corrompus (50 bytes)</t>
        </is>
      </c>
      <c r="E73" s="4" t="inlineStr">
        <is>
          <t>—</t>
        </is>
      </c>
      <c r="F73" s="4" t="inlineStr">
        <is>
          <t>—</t>
        </is>
      </c>
      <c r="G73" s="4" t="inlineStr">
        <is>
          <t>input_corrompu</t>
        </is>
      </c>
      <c r="H73" s="4" t="inlineStr">
        <is>
          <t>validate_image_file raise CORRUPTED, 0 image valide → erreur claire</t>
        </is>
      </c>
      <c r="K73" s="2" t="inlineStr">
        <is>
          <t>Majeur</t>
        </is>
      </c>
    </row>
    <row r="74">
      <c r="A74" s="2" t="inlineStr">
        <is>
          <t>T-073</t>
        </is>
      </c>
      <c r="B74" s="6" t="inlineStr">
        <is>
          <t>Entrées</t>
        </is>
      </c>
      <c r="C74" s="2" t="inlineStr">
        <is>
          <t>REQ-009</t>
        </is>
      </c>
      <c r="D74" s="4" t="inlineStr">
        <is>
          <t>Aucun visage détectable (gradients)</t>
        </is>
      </c>
      <c r="E74" s="4" t="inlineStr">
        <is>
          <t>Workflow nominal</t>
        </is>
      </c>
      <c r="F74" s="4" t="inlineStr">
        <is>
          <t>retry=3</t>
        </is>
      </c>
      <c r="G74" s="4" t="inlineStr">
        <is>
          <t>input_no_face</t>
        </is>
      </c>
      <c r="H74" s="4" t="inlineStr">
        <is>
          <t>Logs 'Aucun visage détecté' pour chaque image, fallback cross-dissolve sur Morph</t>
        </is>
      </c>
      <c r="K74" s="2" t="inlineStr">
        <is>
          <t>Majeur</t>
        </is>
      </c>
    </row>
    <row r="75">
      <c r="A75" s="2" t="inlineStr">
        <is>
          <t>T-074</t>
        </is>
      </c>
      <c r="B75" s="6" t="inlineStr">
        <is>
          <t>Entrées</t>
        </is>
      </c>
      <c r="C75" s="2" t="inlineStr">
        <is>
          <t>REQ-001</t>
        </is>
      </c>
      <c r="D75" s="4" t="inlineStr">
        <is>
          <t>Photos réelles fournies</t>
        </is>
      </c>
      <c r="E75" s="4" t="inlineStr">
        <is>
          <t>Workflow complet avec vraies photos</t>
        </is>
      </c>
      <c r="F75" s="4" t="inlineStr">
        <is>
          <t>Photos déposées par utilisateur</t>
        </is>
      </c>
      <c r="G75" s="4" t="inlineStr">
        <is>
          <t>input_reel/</t>
        </is>
      </c>
      <c r="H75" s="4" t="inlineStr">
        <is>
          <t>Pipeline complet réussit, vidéo de qualité visuelle correcte</t>
        </is>
      </c>
      <c r="K75" s="2" t="inlineStr">
        <is>
          <t>Bloquant</t>
        </is>
      </c>
    </row>
    <row r="76">
      <c r="A76" s="2" t="inlineStr">
        <is>
          <t>T-075</t>
        </is>
      </c>
      <c r="B76" s="7" t="inlineStr">
        <is>
          <t>Sorties</t>
        </is>
      </c>
      <c r="C76" s="2" t="inlineStr">
        <is>
          <t>REQ-010</t>
        </is>
      </c>
      <c r="D76" s="4" t="inlineStr">
        <is>
          <t>Format MP4 H.264 conforme</t>
        </is>
      </c>
      <c r="E76" s="4" t="inlineStr">
        <is>
          <t>Lire la sortie avec ffprobe -show_streams</t>
        </is>
      </c>
      <c r="F76" s="4" t="inlineStr">
        <is>
          <t>Workflow T-074 OK</t>
        </is>
      </c>
      <c r="G76" s="4" t="inlineStr">
        <is>
          <t>—</t>
        </is>
      </c>
      <c r="H76" s="4" t="inlineStr">
        <is>
          <t>codec_name='h264', pix_fmt='yuv420p', container='mp4'</t>
        </is>
      </c>
      <c r="K76" s="2" t="inlineStr">
        <is>
          <t>Bloquant</t>
        </is>
      </c>
    </row>
    <row r="77">
      <c r="A77" s="2" t="inlineStr">
        <is>
          <t>T-076</t>
        </is>
      </c>
      <c r="B77" s="7" t="inlineStr">
        <is>
          <t>Sorties</t>
        </is>
      </c>
      <c r="C77" s="2" t="inlineStr">
        <is>
          <t>REQ-010</t>
        </is>
      </c>
      <c r="D77" s="4" t="inlineStr">
        <is>
          <t>Résolution effective 720p</t>
        </is>
      </c>
      <c r="E77" s="4" t="inlineStr">
        <is>
          <t>Workflow avec Résolution=720p</t>
        </is>
      </c>
      <c r="F77" s="4" t="inlineStr">
        <is>
          <t>input_reel</t>
        </is>
      </c>
      <c r="G77" s="4" t="inlineStr">
        <is>
          <t>—</t>
        </is>
      </c>
      <c r="H77" s="4" t="inlineStr">
        <is>
          <t>Hauteur=720, largeur=arrondi pair selon ratio</t>
        </is>
      </c>
      <c r="K77" s="2" t="inlineStr">
        <is>
          <t>Majeur</t>
        </is>
      </c>
    </row>
    <row r="78">
      <c r="A78" s="2" t="inlineStr">
        <is>
          <t>T-077</t>
        </is>
      </c>
      <c r="B78" s="7" t="inlineStr">
        <is>
          <t>Sorties</t>
        </is>
      </c>
      <c r="C78" s="2" t="inlineStr">
        <is>
          <t>REQ-010</t>
        </is>
      </c>
      <c r="D78" s="4" t="inlineStr">
        <is>
          <t>Résolution 1080p</t>
        </is>
      </c>
      <c r="E78" s="4" t="inlineStr">
        <is>
          <t>—</t>
        </is>
      </c>
      <c r="F78" s="4" t="inlineStr">
        <is>
          <t>—</t>
        </is>
      </c>
      <c r="G78" s="4" t="inlineStr">
        <is>
          <t>—</t>
        </is>
      </c>
      <c r="H78" s="4" t="inlineStr">
        <is>
          <t>Hauteur=1080</t>
        </is>
      </c>
      <c r="K78" s="2" t="inlineStr">
        <is>
          <t>Mineur</t>
        </is>
      </c>
    </row>
    <row r="79">
      <c r="A79" s="2" t="inlineStr">
        <is>
          <t>T-078</t>
        </is>
      </c>
      <c r="B79" s="7" t="inlineStr">
        <is>
          <t>Sorties</t>
        </is>
      </c>
      <c r="C79" s="2" t="inlineStr">
        <is>
          <t>REQ-010</t>
        </is>
      </c>
      <c r="D79" s="4" t="inlineStr">
        <is>
          <t>Résolution 480p</t>
        </is>
      </c>
      <c r="E79" s="4" t="inlineStr">
        <is>
          <t>—</t>
        </is>
      </c>
      <c r="F79" s="4" t="inlineStr">
        <is>
          <t>—</t>
        </is>
      </c>
      <c r="G79" s="4" t="inlineStr">
        <is>
          <t>—</t>
        </is>
      </c>
      <c r="H79" s="4" t="inlineStr">
        <is>
          <t>Hauteur=480</t>
        </is>
      </c>
      <c r="K79" s="2" t="inlineStr">
        <is>
          <t>Mineur</t>
        </is>
      </c>
    </row>
    <row r="80">
      <c r="A80" s="2" t="inlineStr">
        <is>
          <t>T-079</t>
        </is>
      </c>
      <c r="B80" s="7" t="inlineStr">
        <is>
          <t>Sorties</t>
        </is>
      </c>
      <c r="C80" s="2" t="inlineStr">
        <is>
          <t>—</t>
        </is>
      </c>
      <c r="D80" s="4" t="inlineStr">
        <is>
          <t>Export GIF optionnel</t>
        </is>
      </c>
      <c r="E80" s="4" t="inlineStr">
        <is>
          <t>Workflow avec create_gif=True</t>
        </is>
      </c>
      <c r="F80" s="4" t="inlineStr">
        <is>
          <t>FFmpeg dispo</t>
        </is>
      </c>
      <c r="G80" s="4" t="inlineStr">
        <is>
          <t>input_reel</t>
        </is>
      </c>
      <c r="H80" s="4" t="inlineStr">
        <is>
          <t>Fichier 03_morph/morph_preview.gif présent, lisible</t>
        </is>
      </c>
      <c r="K80" s="2" t="inlineStr">
        <is>
          <t>Mineur</t>
        </is>
      </c>
    </row>
    <row r="81">
      <c r="A81" s="2" t="inlineStr">
        <is>
          <t>T-080</t>
        </is>
      </c>
      <c r="B81" s="7" t="inlineStr">
        <is>
          <t>Sorties</t>
        </is>
      </c>
      <c r="C81" s="2" t="inlineStr">
        <is>
          <t>—</t>
        </is>
      </c>
      <c r="D81" s="4" t="inlineStr">
        <is>
          <t>Export thumbnail</t>
        </is>
      </c>
      <c r="E81" s="4" t="inlineStr">
        <is>
          <t>Workflow avec thumbnail=True</t>
        </is>
      </c>
      <c r="F81" s="4" t="inlineStr">
        <is>
          <t>—</t>
        </is>
      </c>
      <c r="G81" s="4" t="inlineStr">
        <is>
          <t>input_reel</t>
        </is>
      </c>
      <c r="H81" s="4" t="inlineStr">
        <is>
          <t>Fichier 03_morph/thumbnail.jpg présent (640 px)</t>
        </is>
      </c>
      <c r="K81" s="2" t="inlineStr">
        <is>
          <t>Mineur</t>
        </is>
      </c>
    </row>
    <row r="82">
      <c r="A82" s="2" t="inlineStr">
        <is>
          <t>T-081</t>
        </is>
      </c>
      <c r="B82" s="7" t="inlineStr">
        <is>
          <t>Sorties</t>
        </is>
      </c>
      <c r="C82" s="2" t="inlineStr">
        <is>
          <t>—</t>
        </is>
      </c>
      <c r="D82" s="4" t="inlineStr">
        <is>
          <t>run_summary.json structure</t>
        </is>
      </c>
      <c r="E82" s="4" t="inlineStr">
        <is>
          <t>Ouvrir runs/&lt;ts&gt;/04_export/run_summary.json</t>
        </is>
      </c>
      <c r="F82" s="4" t="inlineStr">
        <is>
          <t>Workflow OK</t>
        </is>
      </c>
      <c r="G82" s="4" t="inlineStr">
        <is>
          <t>—</t>
        </is>
      </c>
      <c r="H82" s="4" t="inlineStr">
        <is>
          <t>JSON valide, clés : timestamp, run_dir, input, output, config, files</t>
        </is>
      </c>
      <c r="K82" s="2" t="inlineStr">
        <is>
          <t>Majeur</t>
        </is>
      </c>
    </row>
    <row r="83">
      <c r="A83" s="2" t="inlineStr">
        <is>
          <t>T-082</t>
        </is>
      </c>
      <c r="B83" s="7" t="inlineStr">
        <is>
          <t>Sorties</t>
        </is>
      </c>
      <c r="C83" s="2" t="inlineStr">
        <is>
          <t>—</t>
        </is>
      </c>
      <c r="D83" s="4" t="inlineStr">
        <is>
          <t>metadata.txt contenu</t>
        </is>
      </c>
      <c r="E83" s="4" t="inlineStr">
        <is>
          <t>Ouvrir runs/&lt;ts&gt;/04_export/metadata.txt</t>
        </is>
      </c>
      <c r="F83" s="4" t="inlineStr">
        <is>
          <t>Workflow OK</t>
        </is>
      </c>
      <c r="G83" s="4" t="inlineStr">
        <is>
          <t>—</t>
        </is>
      </c>
      <c r="H83" s="4" t="inlineStr">
        <is>
          <t>Texte avec project, version, created, source_images, fps, transition_duration, output_format</t>
        </is>
      </c>
      <c r="K83" s="2" t="inlineStr">
        <is>
          <t>Mineur</t>
        </is>
      </c>
    </row>
    <row r="84">
      <c r="A84" s="2" t="inlineStr">
        <is>
          <t>T-083</t>
        </is>
      </c>
      <c r="B84" s="8" t="inlineStr">
        <is>
          <t>Cas limites</t>
        </is>
      </c>
      <c r="C84" s="2" t="inlineStr">
        <is>
          <t>REQ-017</t>
        </is>
      </c>
      <c r="D84" s="4" t="inlineStr">
        <is>
          <t>Modèle dlib absent</t>
        </is>
      </c>
      <c r="E84" s="4" t="inlineStr">
        <is>
          <t>Renommer temporairement shape_predictor*.dat, cliquer Lancer</t>
        </is>
      </c>
      <c r="F84" s="4" t="inlineStr">
        <is>
          <t>Sélection input valide</t>
        </is>
      </c>
      <c r="G84" s="4" t="inlineStr">
        <is>
          <t>input_nominal</t>
        </is>
      </c>
      <c r="H84" s="4" t="inlineStr">
        <is>
          <t>Messagebox d'erreur explicite : 'Modèle de détection faciale introuvable'. Aucun thread lancé.</t>
        </is>
      </c>
      <c r="K84" s="2" t="inlineStr">
        <is>
          <t>Bloquant</t>
        </is>
      </c>
    </row>
    <row r="85">
      <c r="A85" s="2" t="inlineStr">
        <is>
          <t>T-084</t>
        </is>
      </c>
      <c r="B85" s="8" t="inlineStr">
        <is>
          <t>Cas limites</t>
        </is>
      </c>
      <c r="C85" s="2" t="inlineStr">
        <is>
          <t>—</t>
        </is>
      </c>
      <c r="D85" s="4" t="inlineStr">
        <is>
          <t>FFmpeg absent du PATH</t>
        </is>
      </c>
      <c r="E85" s="4" t="inlineStr">
        <is>
          <t>Retirer ffmpeg du PATH, démarrer workflow</t>
        </is>
      </c>
      <c r="F85" s="4" t="inlineStr">
        <is>
          <t>Modèle dlib présent</t>
        </is>
      </c>
      <c r="G85" s="4" t="inlineStr">
        <is>
          <t>input_nominal</t>
        </is>
      </c>
      <c r="H85" s="4" t="inlineStr">
        <is>
          <t>Étape Morph raise RuntimeError 'FFmpeg n'est pas disponible'. Workflow s'arrête (ou continue selon option).</t>
        </is>
      </c>
      <c r="K85" s="2" t="inlineStr">
        <is>
          <t>Bloquant</t>
        </is>
      </c>
    </row>
    <row r="86">
      <c r="A86" s="2" t="inlineStr">
        <is>
          <t>T-085</t>
        </is>
      </c>
      <c r="B86" s="8" t="inlineStr">
        <is>
          <t>Cas limites</t>
        </is>
      </c>
      <c r="C86" s="2" t="inlineStr">
        <is>
          <t>REQ-019</t>
        </is>
      </c>
      <c r="D86" s="4" t="inlineStr">
        <is>
          <t>Path output avec Unicode</t>
        </is>
      </c>
      <c r="E86" s="4" t="inlineStr">
        <is>
          <t>Output dir = manual_T085/sortie_éàω_中文</t>
        </is>
      </c>
      <c r="F86" s="4" t="inlineStr">
        <is>
          <t>—</t>
        </is>
      </c>
      <c r="G86" s="4" t="inlineStr">
        <is>
          <t>input_nominal</t>
        </is>
      </c>
      <c r="H86" s="4" t="inlineStr">
        <is>
          <t>Pas de crash, fichiers créés en UTF-8</t>
        </is>
      </c>
      <c r="K86" s="2" t="inlineStr">
        <is>
          <t>Majeur</t>
        </is>
      </c>
    </row>
    <row r="87">
      <c r="A87" s="2" t="inlineStr">
        <is>
          <t>T-086</t>
        </is>
      </c>
      <c r="B87" s="8" t="inlineStr">
        <is>
          <t>Cas limites</t>
        </is>
      </c>
      <c r="C87" s="2" t="inlineStr">
        <is>
          <t>—</t>
        </is>
      </c>
      <c r="D87" s="4" t="inlineStr">
        <is>
          <t>Output dir sans droits écriture</t>
        </is>
      </c>
      <c r="E87" s="4" t="inlineStr">
        <is>
          <t>Output dir = un dossier read-only</t>
        </is>
      </c>
      <c r="F87" s="4" t="inlineStr">
        <is>
          <t>Output dir read-only</t>
        </is>
      </c>
      <c r="G87" s="4" t="inlineStr">
        <is>
          <t>input_nominal</t>
        </is>
      </c>
      <c r="H87" s="4" t="inlineStr">
        <is>
          <t>Erreur d'écriture loguée, messagebox finale 'erreurs'</t>
        </is>
      </c>
      <c r="K87" s="2" t="inlineStr">
        <is>
          <t>Majeur</t>
        </is>
      </c>
    </row>
    <row r="88">
      <c r="A88" s="2" t="inlineStr">
        <is>
          <t>T-087</t>
        </is>
      </c>
      <c r="B88" s="8" t="inlineStr">
        <is>
          <t>Cas limites</t>
        </is>
      </c>
      <c r="C88" s="2" t="inlineStr">
        <is>
          <t>—</t>
        </is>
      </c>
      <c r="D88" s="4" t="inlineStr">
        <is>
          <t>Disque plein simulé</t>
        </is>
      </c>
      <c r="E88" s="4" t="inlineStr">
        <is>
          <t>Remplir un volume puis lancer</t>
        </is>
      </c>
      <c r="F88" s="4" t="inlineStr">
        <is>
          <t>Volume saturé</t>
        </is>
      </c>
      <c r="G88" s="4" t="inlineStr">
        <is>
          <t>input_nominal</t>
        </is>
      </c>
      <c r="H88" s="4" t="inlineStr">
        <is>
          <t>Erreur d'écriture loguée, pas de crash</t>
        </is>
      </c>
      <c r="K88" s="2" t="inlineStr">
        <is>
          <t>Mineur</t>
        </is>
      </c>
    </row>
    <row r="89">
      <c r="A89" s="2" t="inlineStr">
        <is>
          <t>T-088</t>
        </is>
      </c>
      <c r="B89" s="8" t="inlineStr">
        <is>
          <t>Cas limites</t>
        </is>
      </c>
      <c r="C89" s="2" t="inlineStr">
        <is>
          <t>REQ-008</t>
        </is>
      </c>
      <c r="D89" s="4" t="inlineStr">
        <is>
          <t>Étape Import désactivée</t>
        </is>
      </c>
      <c r="E89" s="4" t="inlineStr">
        <is>
          <t>Décocher Import puis Lancer</t>
        </is>
      </c>
      <c r="F89" s="4" t="inlineStr">
        <is>
          <t>—</t>
        </is>
      </c>
      <c r="G89" s="4" t="inlineStr">
        <is>
          <t>input_nominal</t>
        </is>
      </c>
      <c r="H89" s="4" t="inlineStr">
        <is>
          <t>Step Import = SKIPPED ; Align échoue car context.images est vide (à confirmer)</t>
        </is>
      </c>
      <c r="K89" s="2" t="inlineStr">
        <is>
          <t>Mineur</t>
        </is>
      </c>
    </row>
    <row r="90">
      <c r="A90" s="2" t="inlineStr">
        <is>
          <t>T-089</t>
        </is>
      </c>
      <c r="B90" s="8" t="inlineStr">
        <is>
          <t>Cas limites</t>
        </is>
      </c>
      <c r="C90" s="2" t="inlineStr">
        <is>
          <t>REQ-008</t>
        </is>
      </c>
      <c r="D90" s="4" t="inlineStr">
        <is>
          <t>Étape Align désactivée</t>
        </is>
      </c>
      <c r="E90" s="4" t="inlineStr">
        <is>
          <t>Décocher Align</t>
        </is>
      </c>
      <c r="F90" s="4" t="inlineStr">
        <is>
          <t>—</t>
        </is>
      </c>
      <c r="G90" s="4" t="inlineStr">
        <is>
          <t>input_nominal</t>
        </is>
      </c>
      <c r="H90" s="4" t="inlineStr">
        <is>
          <t>Step Align = SKIPPED ; Morph utilise context.images bruts (pas alignés)</t>
        </is>
      </c>
      <c r="K90" s="2" t="inlineStr">
        <is>
          <t>Mineur</t>
        </is>
      </c>
    </row>
    <row r="91">
      <c r="A91" s="2" t="inlineStr">
        <is>
          <t>T-090</t>
        </is>
      </c>
      <c r="B91" s="8" t="inlineStr">
        <is>
          <t>Cas limites</t>
        </is>
      </c>
      <c r="C91" s="2" t="inlineStr">
        <is>
          <t>REQ-008</t>
        </is>
      </c>
      <c r="D91" s="4" t="inlineStr">
        <is>
          <t>Étape Morph désactivée</t>
        </is>
      </c>
      <c r="E91" s="4" t="inlineStr">
        <is>
          <t>Décocher Morph</t>
        </is>
      </c>
      <c r="F91" s="4" t="inlineStr">
        <is>
          <t>—</t>
        </is>
      </c>
      <c r="G91" s="4" t="inlineStr">
        <is>
          <t>input_nominal</t>
        </is>
      </c>
      <c r="H91" s="4" t="inlineStr">
        <is>
          <t>Step Morph = SKIPPED ; Export saute la copie vidéo</t>
        </is>
      </c>
      <c r="K91" s="2" t="inlineStr">
        <is>
          <t>Mineur</t>
        </is>
      </c>
    </row>
    <row r="92">
      <c r="A92" s="2" t="inlineStr">
        <is>
          <t>T-091</t>
        </is>
      </c>
      <c r="B92" s="8" t="inlineStr">
        <is>
          <t>Cas limites</t>
        </is>
      </c>
      <c r="C92" s="2" t="inlineStr">
        <is>
          <t>REQ-008</t>
        </is>
      </c>
      <c r="D92" s="4" t="inlineStr">
        <is>
          <t>Étape Export désactivée</t>
        </is>
      </c>
      <c r="E92" s="4" t="inlineStr">
        <is>
          <t>Décocher Export</t>
        </is>
      </c>
      <c r="F92" s="4" t="inlineStr">
        <is>
          <t>—</t>
        </is>
      </c>
      <c r="G92" s="4" t="inlineStr">
        <is>
          <t>input_nominal</t>
        </is>
      </c>
      <c r="H92" s="4" t="inlineStr">
        <is>
          <t>Step Export = SKIPPED ; vidéo dans runs/&lt;ts&gt;/03_morph/ uniquement</t>
        </is>
      </c>
      <c r="K92" s="2" t="inlineStr">
        <is>
          <t>Mineur</t>
        </is>
      </c>
    </row>
    <row r="93">
      <c r="A93" s="2" t="inlineStr">
        <is>
          <t>T-092</t>
        </is>
      </c>
      <c r="B93" s="8" t="inlineStr">
        <is>
          <t>Cas limites</t>
        </is>
      </c>
      <c r="C93" s="2" t="inlineStr">
        <is>
          <t>—</t>
        </is>
      </c>
      <c r="D93" s="4" t="inlineStr">
        <is>
          <t>Output dir = input dir</t>
        </is>
      </c>
      <c r="E93" s="4" t="inlineStr">
        <is>
          <t>Mettre les deux à la même valeur</t>
        </is>
      </c>
      <c r="F93" s="4" t="inlineStr">
        <is>
          <t>—</t>
        </is>
      </c>
      <c r="G93" s="4" t="inlineStr">
        <is>
          <t>input_nominal</t>
        </is>
      </c>
      <c r="H93" s="4" t="inlineStr">
        <is>
          <t>Pas de crash, copies dans le sous-dossier 04_export</t>
        </is>
      </c>
      <c r="K93" s="2" t="inlineStr">
        <is>
          <t>Mineur</t>
        </is>
      </c>
    </row>
    <row r="94">
      <c r="A94" s="2" t="inlineStr">
        <is>
          <t>T-093</t>
        </is>
      </c>
      <c r="B94" s="8" t="inlineStr">
        <is>
          <t>Cas limites</t>
        </is>
      </c>
      <c r="C94" s="2" t="inlineStr">
        <is>
          <t>REQ-017</t>
        </is>
      </c>
      <c r="D94" s="4" t="inlineStr">
        <is>
          <t>Input dir supprimé entre sélection et Lancer</t>
        </is>
      </c>
      <c r="E94" s="4" t="inlineStr">
        <is>
          <t>Sélectionner puis supprimer le dossier, cliquer Lancer</t>
        </is>
      </c>
      <c r="F94" s="4" t="inlineStr">
        <is>
          <t>—</t>
        </is>
      </c>
      <c r="G94" s="4" t="inlineStr">
        <is>
          <t>input_nominal</t>
        </is>
      </c>
      <c r="H94" s="4" t="inlineStr">
        <is>
          <t>Messagebox 'Le dossier source est introuvable'</t>
        </is>
      </c>
      <c r="K94" s="2" t="inlineStr">
        <is>
          <t>Mineur</t>
        </is>
      </c>
    </row>
    <row r="95">
      <c r="A95" s="2" t="inlineStr">
        <is>
          <t>T-094</t>
        </is>
      </c>
      <c r="B95" s="8" t="inlineStr">
        <is>
          <t>Cas limites</t>
        </is>
      </c>
      <c r="C95" s="2" t="inlineStr">
        <is>
          <t>—</t>
        </is>
      </c>
      <c r="D95" s="4" t="inlineStr">
        <is>
          <t>Reference image inexistante</t>
        </is>
      </c>
      <c r="E95" s="4" t="inlineStr">
        <is>
          <t>Choisir ref puis supprimer le fichier, lancer</t>
        </is>
      </c>
      <c r="F95" s="4" t="inlineStr">
        <is>
          <t>—</t>
        </is>
      </c>
      <c r="G95" s="4" t="inlineStr">
        <is>
          <t>input_nominal</t>
        </is>
      </c>
      <c r="H95" s="4" t="inlineStr">
        <is>
          <t>Step Align utilise context.images[0] en fallback (warning logué)</t>
        </is>
      </c>
      <c r="K95" s="2" t="inlineStr">
        <is>
          <t>Mineur</t>
        </is>
      </c>
    </row>
    <row r="96">
      <c r="A96" s="2" t="inlineStr">
        <is>
          <t>T-095</t>
        </is>
      </c>
      <c r="B96" s="9" t="inlineStr">
        <is>
          <t>Performance</t>
        </is>
      </c>
      <c r="C96" s="2" t="inlineStr">
        <is>
          <t>—</t>
        </is>
      </c>
      <c r="D96" s="4" t="inlineStr">
        <is>
          <t>Démarrage GUI &lt; 3 s</t>
        </is>
      </c>
      <c r="E96" s="4" t="inlineStr">
        <is>
          <t>Mesurer le temps entre python main.py et premier mainloop tick</t>
        </is>
      </c>
      <c r="F96" s="4" t="inlineStr">
        <is>
          <t>—</t>
        </is>
      </c>
      <c r="G96" s="4" t="inlineStr">
        <is>
          <t>—</t>
        </is>
      </c>
      <c r="H96" s="4" t="inlineStr">
        <is>
          <t>≤ 3 s en source ; ≤ 2 s en onefile warm ; ≤ 4 s en onefile cold</t>
        </is>
      </c>
      <c r="K96" s="2" t="inlineStr">
        <is>
          <t>Mineur</t>
        </is>
      </c>
    </row>
    <row r="97">
      <c r="A97" s="2" t="inlineStr">
        <is>
          <t>T-096</t>
        </is>
      </c>
      <c r="B97" s="9" t="inlineStr">
        <is>
          <t>Performance</t>
        </is>
      </c>
      <c r="C97" s="2" t="inlineStr">
        <is>
          <t>—</t>
        </is>
      </c>
      <c r="D97" s="4" t="inlineStr">
        <is>
          <t>Réactivité UI pendant run</t>
        </is>
      </c>
      <c r="E97" s="4" t="inlineStr">
        <is>
          <t>Pendant Morph, déplacer la fenêtre, hover boutons</t>
        </is>
      </c>
      <c r="F97" s="4" t="inlineStr">
        <is>
          <t>—</t>
        </is>
      </c>
      <c r="G97" s="4" t="inlineStr">
        <is>
          <t>input_nominal</t>
        </is>
      </c>
      <c r="H97" s="4" t="inlineStr">
        <is>
          <t>UI répond sous 100 ms (callbacks after(0,...))</t>
        </is>
      </c>
      <c r="K97" s="2" t="inlineStr">
        <is>
          <t>Majeur</t>
        </is>
      </c>
    </row>
    <row r="98">
      <c r="A98" s="2" t="inlineStr">
        <is>
          <t>T-097</t>
        </is>
      </c>
      <c r="B98" s="9" t="inlineStr">
        <is>
          <t>Performance</t>
        </is>
      </c>
      <c r="C98" s="2" t="inlineStr">
        <is>
          <t>—</t>
        </is>
      </c>
      <c r="D98" s="4" t="inlineStr">
        <is>
          <t>Mémoire sur 100 images</t>
        </is>
      </c>
      <c r="E98" s="4" t="inlineStr">
        <is>
          <t>Tâche moniteur RAM pendant workflow volume</t>
        </is>
      </c>
      <c r="F98" s="4" t="inlineStr">
        <is>
          <t>—</t>
        </is>
      </c>
      <c r="G98" s="4" t="inlineStr">
        <is>
          <t>input_volume</t>
        </is>
      </c>
      <c r="H98" s="4" t="inlineStr">
        <is>
          <t>Pic mémoire &lt; 1 GB</t>
        </is>
      </c>
      <c r="K98" s="2" t="inlineStr">
        <is>
          <t>Mineur</t>
        </is>
      </c>
    </row>
    <row r="99">
      <c r="A99" s="2" t="inlineStr">
        <is>
          <t>T-098</t>
        </is>
      </c>
      <c r="B99" s="9" t="inlineStr">
        <is>
          <t>Performance</t>
        </is>
      </c>
      <c r="C99" s="2" t="inlineStr">
        <is>
          <t>—</t>
        </is>
      </c>
      <c r="D99" s="4" t="inlineStr">
        <is>
          <t>Durée morph 5 images</t>
        </is>
      </c>
      <c r="E99" s="4" t="inlineStr">
        <is>
          <t>Mesurer durée workflow nominal</t>
        </is>
      </c>
      <c r="F99" s="4" t="inlineStr">
        <is>
          <t>—</t>
        </is>
      </c>
      <c r="G99" s="4" t="inlineStr">
        <is>
          <t>input_nominal</t>
        </is>
      </c>
      <c r="H99" s="4" t="inlineStr">
        <is>
          <t>&lt; 60 s (5 paires × ~10 s)</t>
        </is>
      </c>
      <c r="K99" s="2" t="inlineStr">
        <is>
          <t>Mineur</t>
        </is>
      </c>
    </row>
    <row r="100">
      <c r="A100" s="2" t="inlineStr">
        <is>
          <t>T-099</t>
        </is>
      </c>
      <c r="B100" s="9" t="inlineStr">
        <is>
          <t>Performance</t>
        </is>
      </c>
      <c r="C100" s="2" t="inlineStr">
        <is>
          <t>—</t>
        </is>
      </c>
      <c r="D100" s="4" t="inlineStr">
        <is>
          <t>Durée morph haute résolution</t>
        </is>
      </c>
      <c r="E100" s="4" t="inlineStr">
        <is>
          <t>Workflow sur limite_haute (2000×2000)</t>
        </is>
      </c>
      <c r="F100" s="4" t="inlineStr">
        <is>
          <t>—</t>
        </is>
      </c>
      <c r="G100" s="4" t="inlineStr">
        <is>
          <t>input_limite_haute</t>
        </is>
      </c>
      <c r="H100" s="4" t="inlineStr">
        <is>
          <t>&lt; 5 min, mémoire &lt; 4 GB</t>
        </is>
      </c>
      <c r="K100" s="2" t="inlineStr">
        <is>
          <t>Mineur</t>
        </is>
      </c>
    </row>
    <row r="101">
      <c r="A101" s="2" t="inlineStr">
        <is>
          <t>T-100</t>
        </is>
      </c>
      <c r="B101" s="10" t="inlineStr">
        <is>
          <t>Robustesse</t>
        </is>
      </c>
      <c r="C101" s="2" t="inlineStr">
        <is>
          <t>REQ-005</t>
        </is>
      </c>
      <c r="D101" s="4" t="inlineStr">
        <is>
          <t>Annulation pendant Import</t>
        </is>
      </c>
      <c r="E101" s="4" t="inlineStr">
        <is>
          <t>Lancer puis Échap immédiat</t>
        </is>
      </c>
      <c r="F101" s="4" t="inlineStr">
        <is>
          <t>—</t>
        </is>
      </c>
      <c r="G101" s="4" t="inlineStr">
        <is>
          <t>input_volume</t>
        </is>
      </c>
      <c r="H101" s="4" t="inlineStr">
        <is>
          <t>Step Import = CANCELLED en &lt; 1 s, étapes suivantes non exécutées</t>
        </is>
      </c>
      <c r="K101" s="2" t="inlineStr">
        <is>
          <t>Bloquant</t>
        </is>
      </c>
    </row>
    <row r="102">
      <c r="A102" s="2" t="inlineStr">
        <is>
          <t>T-101</t>
        </is>
      </c>
      <c r="B102" s="10" t="inlineStr">
        <is>
          <t>Robustesse</t>
        </is>
      </c>
      <c r="C102" s="2" t="inlineStr">
        <is>
          <t>REQ-005</t>
        </is>
      </c>
      <c r="D102" s="4" t="inlineStr">
        <is>
          <t>Annulation pendant Align</t>
        </is>
      </c>
      <c r="E102" s="4" t="inlineStr">
        <is>
          <t>Lancer puis Échap pendant Align</t>
        </is>
      </c>
      <c r="F102" s="4" t="inlineStr">
        <is>
          <t>—</t>
        </is>
      </c>
      <c r="G102" s="4" t="inlineStr">
        <is>
          <t>input_volume</t>
        </is>
      </c>
      <c r="H102" s="4" t="inlineStr">
        <is>
          <t>Step Align = CANCELLED, Import = COMPLETED</t>
        </is>
      </c>
      <c r="K102" s="2" t="inlineStr">
        <is>
          <t>Bloquant</t>
        </is>
      </c>
    </row>
    <row r="103">
      <c r="A103" s="2" t="inlineStr">
        <is>
          <t>T-102</t>
        </is>
      </c>
      <c r="B103" s="10" t="inlineStr">
        <is>
          <t>Robustesse</t>
        </is>
      </c>
      <c r="C103" s="2" t="inlineStr">
        <is>
          <t>REQ-005</t>
        </is>
      </c>
      <c r="D103" s="4" t="inlineStr">
        <is>
          <t>Annulation pendant Morph (loop interne)</t>
        </is>
      </c>
      <c r="E103" s="4" t="inlineStr">
        <is>
          <t>Lancer puis Échap pendant Morph</t>
        </is>
      </c>
      <c r="F103" s="4" t="inlineStr">
        <is>
          <t>—</t>
        </is>
      </c>
      <c r="G103" s="4" t="inlineStr">
        <is>
          <t>input_volume</t>
        </is>
      </c>
      <c r="H103" s="4" t="inlineStr">
        <is>
          <t>Step Morph = CANCELLED, sortie partielle non corrompue</t>
        </is>
      </c>
      <c r="K103" s="2" t="inlineStr">
        <is>
          <t>Majeur</t>
        </is>
      </c>
    </row>
    <row r="104">
      <c r="A104" s="2" t="inlineStr">
        <is>
          <t>T-103</t>
        </is>
      </c>
      <c r="B104" s="10" t="inlineStr">
        <is>
          <t>Robustesse</t>
        </is>
      </c>
      <c r="C104" s="2" t="inlineStr">
        <is>
          <t>REQ-016</t>
        </is>
      </c>
      <c r="D104" s="4" t="inlineStr">
        <is>
          <t>Double-clic Lancer</t>
        </is>
      </c>
      <c r="E104" s="4" t="inlineStr">
        <is>
          <t>Cliquer Lancer 2× en &lt; 100 ms</t>
        </is>
      </c>
      <c r="F104" s="4" t="inlineStr">
        <is>
          <t>—</t>
        </is>
      </c>
      <c r="G104" s="4" t="inlineStr">
        <is>
          <t>input_nominal</t>
        </is>
      </c>
      <c r="H104" s="4" t="inlineStr">
        <is>
          <t>Une seule exécution, garde _workflow_starting active</t>
        </is>
      </c>
      <c r="K104" s="2" t="inlineStr">
        <is>
          <t>Majeur</t>
        </is>
      </c>
    </row>
    <row r="105">
      <c r="A105" s="2" t="inlineStr">
        <is>
          <t>T-104</t>
        </is>
      </c>
      <c r="B105" s="10" t="inlineStr">
        <is>
          <t>Robustesse</t>
        </is>
      </c>
      <c r="C105" s="2" t="inlineStr">
        <is>
          <t>REQ-006</t>
        </is>
      </c>
      <c r="D105" s="4" t="inlineStr">
        <is>
          <t>Ctrl+1 ignoré dans LogViewer</t>
        </is>
      </c>
      <c r="E105" s="4" t="inlineStr">
        <is>
          <t>Cliquer dans la zone de logs, presser Ctrl+1</t>
        </is>
      </c>
      <c r="F105" s="4" t="inlineStr">
        <is>
          <t>—</t>
        </is>
      </c>
      <c r="G105" s="4" t="inlineStr">
        <is>
          <t>—</t>
        </is>
      </c>
      <c r="H105" s="4" t="inlineStr">
        <is>
          <t>Aucun toggle, focus reste dans LogViewer</t>
        </is>
      </c>
      <c r="K105" s="2" t="inlineStr">
        <is>
          <t>Mineur</t>
        </is>
      </c>
    </row>
    <row r="106">
      <c r="A106" s="2" t="inlineStr">
        <is>
          <t>T-105</t>
        </is>
      </c>
      <c r="B106" s="10" t="inlineStr">
        <is>
          <t>Robustesse</t>
        </is>
      </c>
      <c r="C106" s="2" t="inlineStr">
        <is>
          <t>REQ-006</t>
        </is>
      </c>
      <c r="D106" s="4" t="inlineStr">
        <is>
          <t>Ctrl+2 ignoré dans Entry</t>
        </is>
      </c>
      <c r="E106" s="4" t="inlineStr">
        <is>
          <t>Focus dans 'Dossier source', presser Ctrl+2</t>
        </is>
      </c>
      <c r="F106" s="4" t="inlineStr">
        <is>
          <t>—</t>
        </is>
      </c>
      <c r="G106" s="4" t="inlineStr">
        <is>
          <t>—</t>
        </is>
      </c>
      <c r="H106" s="4" t="inlineStr">
        <is>
          <t>Frappe non perturbée, section Morphing non togglée</t>
        </is>
      </c>
      <c r="K106" s="2" t="inlineStr">
        <is>
          <t>Mineur</t>
        </is>
      </c>
    </row>
    <row r="107">
      <c r="A107" s="2" t="inlineStr">
        <is>
          <t>T-106</t>
        </is>
      </c>
      <c r="B107" s="10" t="inlineStr">
        <is>
          <t>Robustesse</t>
        </is>
      </c>
      <c r="C107" s="2" t="inlineStr">
        <is>
          <t>REQ-011</t>
        </is>
      </c>
      <c r="D107" s="4" t="inlineStr">
        <is>
          <t>Reset → Sauver → Restart</t>
        </is>
      </c>
      <c r="E107" s="4" t="inlineStr">
        <is>
          <t>Reset, modifier 1 option, Sauver, fermer, relancer</t>
        </is>
      </c>
      <c r="F107" s="4" t="inlineStr">
        <is>
          <t>—</t>
        </is>
      </c>
      <c r="G107" s="4" t="inlineStr">
        <is>
          <t>—</t>
        </is>
      </c>
      <c r="H107" s="4" t="inlineStr">
        <is>
          <t>Modif unique restaurée, autres options à default</t>
        </is>
      </c>
      <c r="K107" s="2" t="inlineStr">
        <is>
          <t>Mineur</t>
        </is>
      </c>
    </row>
    <row r="108">
      <c r="A108" s="2" t="inlineStr">
        <is>
          <t>T-107</t>
        </is>
      </c>
      <c r="B108" s="10" t="inlineStr">
        <is>
          <t>Robustesse</t>
        </is>
      </c>
      <c r="C108" s="2" t="inlineStr">
        <is>
          <t>—</t>
        </is>
      </c>
      <c r="D108" s="4" t="inlineStr">
        <is>
          <t>Callback Logger qui lève une exception</t>
        </is>
      </c>
      <c r="E108" s="4" t="inlineStr">
        <is>
          <t>Ajouter un callback de test qui raise</t>
        </is>
      </c>
      <c r="F108" s="4" t="inlineStr">
        <is>
          <t>—</t>
        </is>
      </c>
      <c r="G108" s="4" t="inlineStr">
        <is>
          <t>—</t>
        </is>
      </c>
      <c r="H108" s="4" t="inlineStr">
        <is>
          <t>Workflow continue, log warning 'Logger callback raised'</t>
        </is>
      </c>
      <c r="K108" s="2" t="inlineStr">
        <is>
          <t>Mineur</t>
        </is>
      </c>
    </row>
    <row r="109">
      <c r="A109" s="2" t="inlineStr">
        <is>
          <t>T-108</t>
        </is>
      </c>
      <c r="B109" s="11" t="inlineStr">
        <is>
          <t>Régression</t>
        </is>
      </c>
      <c r="C109" s="2" t="inlineStr">
        <is>
          <t>REQ-006</t>
        </is>
      </c>
      <c r="D109" s="4" t="inlineStr">
        <is>
          <t>T-016 historique Ctrl+1</t>
        </is>
      </c>
      <c r="E109" s="4" t="inlineStr">
        <is>
          <t>Ré-exécution du test originel</t>
        </is>
      </c>
      <c r="F109" s="4" t="inlineStr">
        <is>
          <t>—</t>
        </is>
      </c>
      <c r="G109" s="4" t="inlineStr">
        <is>
          <t>—</t>
        </is>
      </c>
      <c r="H109" s="4" t="inlineStr">
        <is>
          <t>Toggle section Vidéo</t>
        </is>
      </c>
      <c r="K109" s="2" t="inlineStr">
        <is>
          <t>Bloquant</t>
        </is>
      </c>
    </row>
    <row r="110">
      <c r="A110" s="2" t="inlineStr">
        <is>
          <t>T-109</t>
        </is>
      </c>
      <c r="B110" s="11" t="inlineStr">
        <is>
          <t>Régression</t>
        </is>
      </c>
      <c r="C110" s="2" t="inlineStr">
        <is>
          <t>REQ-006</t>
        </is>
      </c>
      <c r="D110" s="4" t="inlineStr">
        <is>
          <t>T-017 historique Ctrl+2</t>
        </is>
      </c>
      <c r="E110" s="4" t="inlineStr">
        <is>
          <t>—</t>
        </is>
      </c>
      <c r="F110" s="4" t="inlineStr">
        <is>
          <t>—</t>
        </is>
      </c>
      <c r="G110" s="4" t="inlineStr">
        <is>
          <t>—</t>
        </is>
      </c>
      <c r="H110" s="4" t="inlineStr">
        <is>
          <t>Toggle section Morphing</t>
        </is>
      </c>
      <c r="K110" s="2" t="inlineStr">
        <is>
          <t>Bloquant</t>
        </is>
      </c>
    </row>
    <row r="111">
      <c r="A111" s="2" t="inlineStr">
        <is>
          <t>T-110</t>
        </is>
      </c>
      <c r="B111" s="11" t="inlineStr">
        <is>
          <t>Régression</t>
        </is>
      </c>
      <c r="C111" s="2" t="inlineStr">
        <is>
          <t>REQ-006</t>
        </is>
      </c>
      <c r="D111" s="4" t="inlineStr">
        <is>
          <t>T-018 historique Ctrl+3</t>
        </is>
      </c>
      <c r="E111" s="4" t="inlineStr">
        <is>
          <t>—</t>
        </is>
      </c>
      <c r="F111" s="4" t="inlineStr">
        <is>
          <t>—</t>
        </is>
      </c>
      <c r="G111" s="4" t="inlineStr">
        <is>
          <t>—</t>
        </is>
      </c>
      <c r="H111" s="4" t="inlineStr">
        <is>
          <t>Toggle section Alignement</t>
        </is>
      </c>
      <c r="K111" s="2" t="inlineStr">
        <is>
          <t>Bloquant</t>
        </is>
      </c>
    </row>
    <row r="112">
      <c r="A112" s="2" t="inlineStr">
        <is>
          <t>T-111</t>
        </is>
      </c>
      <c r="B112" s="11" t="inlineStr">
        <is>
          <t>Régression</t>
        </is>
      </c>
      <c r="C112" s="2" t="inlineStr">
        <is>
          <t>REQ-006</t>
        </is>
      </c>
      <c r="D112" s="4" t="inlineStr">
        <is>
          <t>T-019 historique Ctrl+4</t>
        </is>
      </c>
      <c r="E112" s="4" t="inlineStr">
        <is>
          <t>—</t>
        </is>
      </c>
      <c r="F112" s="4" t="inlineStr">
        <is>
          <t>—</t>
        </is>
      </c>
      <c r="G112" s="4" t="inlineStr">
        <is>
          <t>—</t>
        </is>
      </c>
      <c r="H112" s="4" t="inlineStr">
        <is>
          <t>Toggle section Détection</t>
        </is>
      </c>
      <c r="K112" s="2" t="inlineStr">
        <is>
          <t>Bloquant</t>
        </is>
      </c>
    </row>
    <row r="113">
      <c r="A113" s="2" t="inlineStr">
        <is>
          <t>T-112</t>
        </is>
      </c>
      <c r="B113" s="11" t="inlineStr">
        <is>
          <t>Régression</t>
        </is>
      </c>
      <c r="C113" s="2" t="inlineStr">
        <is>
          <t>REQ-006</t>
        </is>
      </c>
      <c r="D113" s="4" t="inlineStr">
        <is>
          <t>T-020 historique Ctrl+5</t>
        </is>
      </c>
      <c r="E113" s="4" t="inlineStr">
        <is>
          <t>—</t>
        </is>
      </c>
      <c r="F113" s="4" t="inlineStr">
        <is>
          <t>—</t>
        </is>
      </c>
      <c r="G113" s="4" t="inlineStr">
        <is>
          <t>—</t>
        </is>
      </c>
      <c r="H113" s="4" t="inlineStr">
        <is>
          <t>Toggle section Workflow</t>
        </is>
      </c>
      <c r="K113" s="2" t="inlineStr">
        <is>
          <t>Bloquant</t>
        </is>
      </c>
    </row>
    <row r="114">
      <c r="A114" s="2" t="inlineStr">
        <is>
          <t>T-113</t>
        </is>
      </c>
      <c r="B114" s="11" t="inlineStr">
        <is>
          <t>Régression</t>
        </is>
      </c>
      <c r="C114" s="2" t="inlineStr">
        <is>
          <t>REQ-002</t>
        </is>
      </c>
      <c r="D114" s="4" t="inlineStr">
        <is>
          <t>T-030 historique : compteur sur sélection référence</t>
        </is>
      </c>
      <c r="E114" s="4" t="inlineStr">
        <is>
          <t>Sélectionner uniquement la référence</t>
        </is>
      </c>
      <c r="F114" s="4" t="inlineStr">
        <is>
          <t>App vide</t>
        </is>
      </c>
      <c r="G114" s="4" t="inlineStr">
        <is>
          <t>face_000.png</t>
        </is>
      </c>
      <c r="H114" s="4" t="inlineStr">
        <is>
          <t>stats_label se met à jour avec 'Réf: face_000.png'</t>
        </is>
      </c>
      <c r="K114" s="2" t="inlineStr">
        <is>
          <t>Majeur</t>
        </is>
      </c>
    </row>
    <row r="115">
      <c r="A115" s="2" t="inlineStr">
        <is>
          <t>T-114</t>
        </is>
      </c>
      <c r="B115" s="11" t="inlineStr">
        <is>
          <t>Régression</t>
        </is>
      </c>
      <c r="C115" s="2" t="inlineStr">
        <is>
          <t>REQ-003</t>
        </is>
      </c>
      <c r="D115" s="4" t="inlineStr">
        <is>
          <t>T-034 historique : Lancer disabled à vide</t>
        </is>
      </c>
      <c r="E115" s="4" t="inlineStr">
        <is>
          <t>App démarrée sans config</t>
        </is>
      </c>
      <c r="F115" s="4" t="inlineStr">
        <is>
          <t>—</t>
        </is>
      </c>
      <c r="G115" s="4" t="inlineStr">
        <is>
          <t>—</t>
        </is>
      </c>
      <c r="H115" s="4" t="inlineStr">
        <is>
          <t>Lancer disabled</t>
        </is>
      </c>
      <c r="K115" s="2" t="inlineStr">
        <is>
          <t>Bloquant</t>
        </is>
      </c>
    </row>
    <row r="116">
      <c r="A116" s="2" t="inlineStr">
        <is>
          <t>T-115</t>
        </is>
      </c>
      <c r="B116" s="11" t="inlineStr">
        <is>
          <t>Régression</t>
        </is>
      </c>
      <c r="C116" s="2" t="inlineStr">
        <is>
          <t>REQ-007</t>
        </is>
      </c>
      <c r="D116" s="4" t="inlineStr">
        <is>
          <t>T-036 historique : barre visible à 0%</t>
        </is>
      </c>
      <c r="E116" s="4" t="inlineStr">
        <is>
          <t>App démarrée</t>
        </is>
      </c>
      <c r="F116" s="4" t="inlineStr">
        <is>
          <t>—</t>
        </is>
      </c>
      <c r="G116" s="4" t="inlineStr">
        <is>
          <t>—</t>
        </is>
      </c>
      <c r="H116" s="4" t="inlineStr">
        <is>
          <t>Barre visible, bordée, label '0 %'</t>
        </is>
      </c>
      <c r="K116" s="2" t="inlineStr">
        <is>
          <t>Majeur</t>
        </is>
      </c>
    </row>
    <row r="117">
      <c r="A117" s="2" t="inlineStr">
        <is>
          <t>T-116</t>
        </is>
      </c>
      <c r="B117" s="11" t="inlineStr">
        <is>
          <t>Régression</t>
        </is>
      </c>
      <c r="C117" s="2" t="inlineStr">
        <is>
          <t>REQ-005</t>
        </is>
      </c>
      <c r="D117" s="4" t="inlineStr">
        <is>
          <t>T-023 historique : Échap pendant traitement</t>
        </is>
      </c>
      <c r="E117" s="4" t="inlineStr">
        <is>
          <t>Lancer puis Échap</t>
        </is>
      </c>
      <c r="F117" s="4" t="inlineStr">
        <is>
          <t>—</t>
        </is>
      </c>
      <c r="G117" s="4" t="inlineStr">
        <is>
          <t>input_nominal</t>
        </is>
      </c>
      <c r="H117" s="4" t="inlineStr">
        <is>
          <t>Annulation effective &lt; 1 s</t>
        </is>
      </c>
      <c r="K117" s="2" t="inlineStr">
        <is>
          <t>Bloquant</t>
        </is>
      </c>
    </row>
    <row r="118">
      <c r="A118" s="2" t="inlineStr">
        <is>
          <t>T-117</t>
        </is>
      </c>
      <c r="B118" s="11" t="inlineStr">
        <is>
          <t>Régression</t>
        </is>
      </c>
      <c r="C118" s="2" t="inlineStr">
        <is>
          <t>REQ-014</t>
        </is>
      </c>
      <c r="D118" s="4" t="inlineStr">
        <is>
          <t>Mapping FR Basse → preset ultrafast</t>
        </is>
      </c>
      <c r="E118" s="4" t="inlineStr">
        <is>
          <t>Run avec Qualité=Basse, lire les logs</t>
        </is>
      </c>
      <c r="F118" s="4" t="inlineStr">
        <is>
          <t>—</t>
        </is>
      </c>
      <c r="G118" s="4" t="inlineStr">
        <is>
          <t>input_nominal</t>
        </is>
      </c>
      <c r="H118" s="4" t="inlineStr">
        <is>
          <t>Log : 'preset=ultrafast'</t>
        </is>
      </c>
      <c r="K118" s="2" t="inlineStr">
        <is>
          <t>Majeur</t>
        </is>
      </c>
    </row>
    <row r="119">
      <c r="A119" s="2" t="inlineStr">
        <is>
          <t>T-118</t>
        </is>
      </c>
      <c r="B119" s="11" t="inlineStr">
        <is>
          <t>Régression</t>
        </is>
      </c>
      <c r="C119" s="2" t="inlineStr">
        <is>
          <t>REQ-018</t>
        </is>
      </c>
      <c r="D119" s="4" t="inlineStr">
        <is>
          <t>DA-1 : restauration référence après redémarrage</t>
        </is>
      </c>
      <c r="E119" s="4" t="inlineStr">
        <is>
          <t>Choisir ref, Sauver, fermer, relancer</t>
        </is>
      </c>
      <c r="F119" s="4" t="inlineStr">
        <is>
          <t>—</t>
        </is>
      </c>
      <c r="G119" s="4" t="inlineStr">
        <is>
          <t>face_000.png</t>
        </is>
      </c>
      <c r="H119" s="4" t="inlineStr">
        <is>
          <t>Champ référence pré-rempli au démarrage</t>
        </is>
      </c>
      <c r="K119" s="2" t="inlineStr">
        <is>
          <t>Mineur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</cols>
  <sheetData>
    <row r="1">
      <c r="A1" s="12" t="inlineStr">
        <is>
          <t>MorphoLapse v2.0.0 — Synthèse qualification</t>
        </is>
      </c>
    </row>
    <row r="2">
      <c r="A2" s="13" t="inlineStr">
        <is>
          <t>Généré le 2026-05-15 20:37:16</t>
        </is>
      </c>
    </row>
    <row r="4">
      <c r="A4" s="1" t="inlineStr">
        <is>
          <t>Catégorie</t>
        </is>
      </c>
      <c r="B4" s="1" t="inlineStr">
        <is>
          <t>Total</t>
        </is>
      </c>
      <c r="C4" s="1" t="inlineStr">
        <is>
          <t>OK</t>
        </is>
      </c>
      <c r="D4" s="1" t="inlineStr">
        <is>
          <t>NOK</t>
        </is>
      </c>
      <c r="E4" s="1" t="inlineStr">
        <is>
          <t>NA</t>
        </is>
      </c>
      <c r="F4" s="1" t="inlineStr">
        <is>
          <t>À tester</t>
        </is>
      </c>
      <c r="G4" s="1" t="inlineStr">
        <is>
          <t>% OK</t>
        </is>
      </c>
    </row>
    <row r="5">
      <c r="A5" s="3" t="inlineStr">
        <is>
          <t>IHM</t>
        </is>
      </c>
      <c r="B5">
        <f>COUNTIF(Matrice!B:B,"IHM")</f>
        <v/>
      </c>
      <c r="C5">
        <f>COUNTIFS(Matrice!B:B,"IHM",Matrice!J:J,"OK")</f>
        <v/>
      </c>
      <c r="D5">
        <f>COUNTIFS(Matrice!B:B,"IHM",Matrice!J:J,"NOK")</f>
        <v/>
      </c>
      <c r="E5">
        <f>COUNTIFS(Matrice!B:B,"IHM",Matrice!J:J,"NA")</f>
        <v/>
      </c>
      <c r="F5">
        <f>B5-C5-D5-E5</f>
        <v/>
      </c>
      <c r="G5" s="14">
        <f>IF(B5=0,"",ROUND(C5/B5*100,1))</f>
        <v/>
      </c>
    </row>
    <row r="6">
      <c r="A6" s="5" t="inlineStr">
        <is>
          <t>Paramètres</t>
        </is>
      </c>
      <c r="B6">
        <f>COUNTIF(Matrice!B:B,"Paramètres")</f>
        <v/>
      </c>
      <c r="C6">
        <f>COUNTIFS(Matrice!B:B,"Paramètres",Matrice!J:J,"OK")</f>
        <v/>
      </c>
      <c r="D6">
        <f>COUNTIFS(Matrice!B:B,"Paramètres",Matrice!J:J,"NOK")</f>
        <v/>
      </c>
      <c r="E6">
        <f>COUNTIFS(Matrice!B:B,"Paramètres",Matrice!J:J,"NA")</f>
        <v/>
      </c>
      <c r="F6">
        <f>B6-C6-D6-E6</f>
        <v/>
      </c>
      <c r="G6" s="14">
        <f>IF(B6=0,"",ROUND(C6/B6*100,1))</f>
        <v/>
      </c>
    </row>
    <row r="7">
      <c r="A7" s="6" t="inlineStr">
        <is>
          <t>Entrées</t>
        </is>
      </c>
      <c r="B7">
        <f>COUNTIF(Matrice!B:B,"Entrées")</f>
        <v/>
      </c>
      <c r="C7">
        <f>COUNTIFS(Matrice!B:B,"Entrées",Matrice!J:J,"OK")</f>
        <v/>
      </c>
      <c r="D7">
        <f>COUNTIFS(Matrice!B:B,"Entrées",Matrice!J:J,"NOK")</f>
        <v/>
      </c>
      <c r="E7">
        <f>COUNTIFS(Matrice!B:B,"Entrées",Matrice!J:J,"NA")</f>
        <v/>
      </c>
      <c r="F7">
        <f>B7-C7-D7-E7</f>
        <v/>
      </c>
      <c r="G7" s="14">
        <f>IF(B7=0,"",ROUND(C7/B7*100,1))</f>
        <v/>
      </c>
    </row>
    <row r="8">
      <c r="A8" s="7" t="inlineStr">
        <is>
          <t>Sorties</t>
        </is>
      </c>
      <c r="B8">
        <f>COUNTIF(Matrice!B:B,"Sorties")</f>
        <v/>
      </c>
      <c r="C8">
        <f>COUNTIFS(Matrice!B:B,"Sorties",Matrice!J:J,"OK")</f>
        <v/>
      </c>
      <c r="D8">
        <f>COUNTIFS(Matrice!B:B,"Sorties",Matrice!J:J,"NOK")</f>
        <v/>
      </c>
      <c r="E8">
        <f>COUNTIFS(Matrice!B:B,"Sorties",Matrice!J:J,"NA")</f>
        <v/>
      </c>
      <c r="F8">
        <f>B8-C8-D8-E8</f>
        <v/>
      </c>
      <c r="G8" s="14">
        <f>IF(B8=0,"",ROUND(C8/B8*100,1))</f>
        <v/>
      </c>
    </row>
    <row r="9">
      <c r="A9" s="8" t="inlineStr">
        <is>
          <t>Cas limites</t>
        </is>
      </c>
      <c r="B9">
        <f>COUNTIF(Matrice!B:B,"Cas limites")</f>
        <v/>
      </c>
      <c r="C9">
        <f>COUNTIFS(Matrice!B:B,"Cas limites",Matrice!J:J,"OK")</f>
        <v/>
      </c>
      <c r="D9">
        <f>COUNTIFS(Matrice!B:B,"Cas limites",Matrice!J:J,"NOK")</f>
        <v/>
      </c>
      <c r="E9">
        <f>COUNTIFS(Matrice!B:B,"Cas limites",Matrice!J:J,"NA")</f>
        <v/>
      </c>
      <c r="F9">
        <f>B9-C9-D9-E9</f>
        <v/>
      </c>
      <c r="G9" s="14">
        <f>IF(B9=0,"",ROUND(C9/B9*100,1))</f>
        <v/>
      </c>
    </row>
    <row r="10">
      <c r="A10" s="9" t="inlineStr">
        <is>
          <t>Performance</t>
        </is>
      </c>
      <c r="B10">
        <f>COUNTIF(Matrice!B:B,"Performance")</f>
        <v/>
      </c>
      <c r="C10">
        <f>COUNTIFS(Matrice!B:B,"Performance",Matrice!J:J,"OK")</f>
        <v/>
      </c>
      <c r="D10">
        <f>COUNTIFS(Matrice!B:B,"Performance",Matrice!J:J,"NOK")</f>
        <v/>
      </c>
      <c r="E10">
        <f>COUNTIFS(Matrice!B:B,"Performance",Matrice!J:J,"NA")</f>
        <v/>
      </c>
      <c r="F10">
        <f>B10-C10-D10-E10</f>
        <v/>
      </c>
      <c r="G10" s="14">
        <f>IF(B10=0,"",ROUND(C10/B10*100,1))</f>
        <v/>
      </c>
    </row>
    <row r="11">
      <c r="A11" s="10" t="inlineStr">
        <is>
          <t>Robustesse</t>
        </is>
      </c>
      <c r="B11">
        <f>COUNTIF(Matrice!B:B,"Robustesse")</f>
        <v/>
      </c>
      <c r="C11">
        <f>COUNTIFS(Matrice!B:B,"Robustesse",Matrice!J:J,"OK")</f>
        <v/>
      </c>
      <c r="D11">
        <f>COUNTIFS(Matrice!B:B,"Robustesse",Matrice!J:J,"NOK")</f>
        <v/>
      </c>
      <c r="E11">
        <f>COUNTIFS(Matrice!B:B,"Robustesse",Matrice!J:J,"NA")</f>
        <v/>
      </c>
      <c r="F11">
        <f>B11-C11-D11-E11</f>
        <v/>
      </c>
      <c r="G11" s="14">
        <f>IF(B11=0,"",ROUND(C11/B11*100,1))</f>
        <v/>
      </c>
    </row>
    <row r="12">
      <c r="A12" s="11" t="inlineStr">
        <is>
          <t>Régression</t>
        </is>
      </c>
      <c r="B12">
        <f>COUNTIF(Matrice!B:B,"Régression")</f>
        <v/>
      </c>
      <c r="C12">
        <f>COUNTIFS(Matrice!B:B,"Régression",Matrice!J:J,"OK")</f>
        <v/>
      </c>
      <c r="D12">
        <f>COUNTIFS(Matrice!B:B,"Régression",Matrice!J:J,"NOK")</f>
        <v/>
      </c>
      <c r="E12">
        <f>COUNTIFS(Matrice!B:B,"Régression",Matrice!J:J,"NA")</f>
        <v/>
      </c>
      <c r="F12">
        <f>B12-C12-D12-E12</f>
        <v/>
      </c>
      <c r="G12" s="14">
        <f>IF(B12=0,"",ROUND(C12/B12*100,1))</f>
        <v/>
      </c>
    </row>
    <row r="13">
      <c r="A13" s="15" t="inlineStr">
        <is>
          <t>TOTAL</t>
        </is>
      </c>
      <c r="B13" s="15">
        <f>SUM(B5:B12)</f>
        <v/>
      </c>
      <c r="C13" s="15">
        <f>SUM(C5:C12)</f>
        <v/>
      </c>
      <c r="D13" s="15">
        <f>SUM(D5:D12)</f>
        <v/>
      </c>
      <c r="E13" s="15">
        <f>SUM(E5:E12)</f>
        <v/>
      </c>
      <c r="F13" s="15">
        <f>SUM(F5:F12)</f>
        <v/>
      </c>
      <c r="G13" s="15">
        <f>IF(B13=0,"",ROUND(C13/B13*100,1))</f>
        <v/>
      </c>
    </row>
    <row r="15">
      <c r="A15" s="16" t="inlineStr">
        <is>
          <t>Par sévérité</t>
        </is>
      </c>
    </row>
    <row r="16">
      <c r="A16" s="1" t="inlineStr">
        <is>
          <t>Sévérité</t>
        </is>
      </c>
      <c r="B16" s="1" t="inlineStr">
        <is>
          <t>Total</t>
        </is>
      </c>
      <c r="C16" s="1" t="inlineStr">
        <is>
          <t>OK</t>
        </is>
      </c>
      <c r="D16" s="1" t="inlineStr">
        <is>
          <t>NOK</t>
        </is>
      </c>
      <c r="E16" s="1" t="inlineStr">
        <is>
          <t>% OK</t>
        </is>
      </c>
    </row>
    <row r="17">
      <c r="A17" s="2" t="inlineStr">
        <is>
          <t>Bloquant</t>
        </is>
      </c>
      <c r="B17">
        <f>COUNTIF(Matrice!K:K,"Bloquant")</f>
        <v/>
      </c>
      <c r="C17">
        <f>COUNTIFS(Matrice!K:K,"Bloquant",Matrice!J:J,"OK")</f>
        <v/>
      </c>
      <c r="D17">
        <f>COUNTIFS(Matrice!K:K,"Bloquant",Matrice!J:J,"NOK")</f>
        <v/>
      </c>
      <c r="E17" s="14">
        <f>IF(B17=0,"",ROUND(C17/B17*100,1))</f>
        <v/>
      </c>
    </row>
    <row r="18">
      <c r="A18" s="2" t="inlineStr">
        <is>
          <t>Majeur</t>
        </is>
      </c>
      <c r="B18">
        <f>COUNTIF(Matrice!K:K,"Majeur")</f>
        <v/>
      </c>
      <c r="C18">
        <f>COUNTIFS(Matrice!K:K,"Majeur",Matrice!J:J,"OK")</f>
        <v/>
      </c>
      <c r="D18">
        <f>COUNTIFS(Matrice!K:K,"Majeur",Matrice!J:J,"NOK")</f>
        <v/>
      </c>
      <c r="E18" s="14">
        <f>IF(B18=0,"",ROUND(C18/B18*100,1))</f>
        <v/>
      </c>
    </row>
    <row r="19">
      <c r="A19" s="2" t="inlineStr">
        <is>
          <t>Mineur</t>
        </is>
      </c>
      <c r="B19">
        <f>COUNTIF(Matrice!K:K,"Mineur")</f>
        <v/>
      </c>
      <c r="C19">
        <f>COUNTIFS(Matrice!K:K,"Mineur",Matrice!J:J,"OK")</f>
        <v/>
      </c>
      <c r="D19">
        <f>COUNTIFS(Matrice!K:K,"Mineur",Matrice!J:J,"NOK")</f>
        <v/>
      </c>
      <c r="E19" s="14">
        <f>IF(B19=0,"",ROUND(C19/B19*100,1))</f>
        <v/>
      </c>
    </row>
    <row r="23">
      <c r="A23" s="13" t="inlineStr">
        <is>
          <t>Légende Statut : OK / NOK / NA / (vide = à tester)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2026-05-15T18:37:16Z</dcterms:created>
  <dcterms:modified xmlns:dcterms="http://purl.org/dc/terms/" xmlns:xsi="http://www.w3.org/2001/XMLSchema-instance" xsi:type="dcterms:W3CDTF">2026-05-15T18:37:16Z</dcterms:modified>
</cp:coreProperties>
</file>